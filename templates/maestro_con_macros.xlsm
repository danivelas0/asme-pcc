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development\asme-pcc\templates\"/>
    </mc:Choice>
  </mc:AlternateContent>
  <xr:revisionPtr revIDLastSave="0" documentId="8_{BE9C8C80-5F82-4CE1-B136-609BC745FA7C}" xr6:coauthVersionLast="47" xr6:coauthVersionMax="47" xr10:uidLastSave="{00000000-0000-0000-0000-000000000000}"/>
  <bookViews>
    <workbookView xWindow="-120" yWindow="-120" windowWidth="38640" windowHeight="21120" tabRatio="500" xr2:uid="{00000000-000D-0000-FFFF-FFFF00000000}"/>
  </bookViews>
  <sheets>
    <sheet name="Instrucciones" sheetId="1" r:id="rId1"/>
    <sheet name="Datos_Ref" sheetId="2" r:id="rId2"/>
    <sheet name="Parche_PCC2_Art212" sheetId="3" r:id="rId3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99" i="3" l="1"/>
  <c r="B98" i="3"/>
  <c r="B97" i="3"/>
  <c r="B96" i="3"/>
  <c r="B95" i="3"/>
  <c r="B94" i="3"/>
  <c r="E89" i="3"/>
  <c r="E88" i="3"/>
  <c r="E84" i="3"/>
  <c r="F62" i="3"/>
  <c r="E62" i="3"/>
  <c r="D62" i="3"/>
  <c r="F61" i="3"/>
  <c r="E61" i="3"/>
  <c r="D61" i="3"/>
  <c r="D21" i="3"/>
  <c r="E87" i="3" s="1"/>
  <c r="D20" i="3"/>
  <c r="D56" i="3" s="1"/>
  <c r="D77" i="3" s="1"/>
  <c r="E86" i="3" s="1"/>
  <c r="F86" i="3" s="1"/>
  <c r="D11" i="3"/>
  <c r="D39" i="3" s="1"/>
  <c r="D78" i="3" l="1"/>
  <c r="D79" i="3" s="1"/>
  <c r="D80" i="3" s="1"/>
  <c r="E65" i="3"/>
  <c r="D52" i="3"/>
  <c r="D53" i="3" s="1"/>
  <c r="D73" i="3" s="1"/>
  <c r="D88" i="3" s="1"/>
  <c r="F88" i="3" s="1"/>
  <c r="D40" i="3"/>
  <c r="D41" i="3" s="1"/>
  <c r="D48" i="3" s="1"/>
  <c r="D54" i="3"/>
  <c r="D55" i="3"/>
  <c r="D12" i="3"/>
  <c r="D13" i="3"/>
  <c r="D14" i="3"/>
  <c r="D85" i="3" l="1"/>
  <c r="B93" i="3"/>
  <c r="F65" i="3"/>
  <c r="D87" i="3" s="1"/>
  <c r="F87" i="3" s="1"/>
  <c r="E63" i="3"/>
  <c r="D63" i="3"/>
  <c r="F63" i="3"/>
  <c r="D57" i="3"/>
  <c r="D74" i="3" s="1"/>
  <c r="D75" i="3" s="1"/>
  <c r="D65" i="3"/>
  <c r="D76" i="3" l="1"/>
  <c r="D89" i="3"/>
  <c r="F89" i="3" s="1"/>
  <c r="F67" i="3"/>
  <c r="F66" i="3"/>
  <c r="F64" i="3"/>
  <c r="D64" i="3"/>
  <c r="D67" i="3"/>
  <c r="D66" i="3"/>
  <c r="D68" i="3" s="1"/>
  <c r="D69" i="3" s="1"/>
  <c r="E64" i="3"/>
  <c r="E67" i="3"/>
  <c r="E66" i="3"/>
  <c r="E68" i="3" l="1"/>
  <c r="D84" i="3"/>
  <c r="F84" i="3" s="1"/>
  <c r="F68" i="3"/>
  <c r="F69" i="3" s="1"/>
  <c r="E69" i="3" l="1"/>
  <c r="E85" i="3"/>
  <c r="F85" i="3" s="1"/>
  <c r="F90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A41" authorId="0" shapeId="0" xr:uid="{00000000-0006-0000-0100-000001000000}">
      <text>
        <r>
          <rPr>
            <sz val="10"/>
            <rFont val="Arial"/>
            <family val="2"/>
          </rPr>
          <t>Sa a T ≤ 40 °C. Base B31.3: menor de Su/3 y 2/3·Sy (Tabla A-1). Base VIII-1/II-D 1A: menor de Su/3,5 y 2/3·Sy. Para T mayor, cargar las tablas completas por temperatura.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D10" authorId="0" shapeId="0" xr:uid="{00000000-0006-0000-0200-000009000000}">
      <text>
        <r>
          <rPr>
            <sz val="10"/>
            <rFont val="Arial"/>
            <family val="2"/>
          </rPr>
          <t>Selector. Conmuta: (a) fuente del esfuerzo admisible S, (b) fórmula de espesor requerido t_req, (c) factor de geometría de la fuerza de membrana. PCC-2 Art. 212 aplica a envolventes de tubería y recipiente (su figura 212-1-1 es una reparación de virola).</t>
        </r>
      </text>
    </comment>
    <comment ref="D11" authorId="0" shapeId="0" xr:uid="{00000000-0006-0000-0200-00000A000000}">
      <text>
        <r>
          <rPr>
            <sz val="10"/>
            <rFont val="Arial"/>
            <family val="2"/>
          </rPr>
          <t>Índice interno del selector. 1=tubería (B31.3), 2=virola cilíndrica (VIII-1), 3=cabezal/esfera (VIII-1).</t>
        </r>
      </text>
    </comment>
    <comment ref="D12" authorId="0" shapeId="0" xr:uid="{00000000-0006-0000-0200-00000B000000}">
      <text>
        <r>
          <rPr>
            <sz val="10"/>
            <rFont val="Arial"/>
            <family val="2"/>
          </rPr>
          <t>Código de construcción/registro cuyo esfuerzo admisible rige el cálculo (PCC-2 101-3.10).</t>
        </r>
      </text>
    </comment>
    <comment ref="D13" authorId="0" shapeId="0" xr:uid="{00000000-0006-0000-0200-00000C000000}">
      <text>
        <r>
          <rPr>
            <sz val="10"/>
            <rFont val="Arial"/>
            <family val="2"/>
          </rPr>
          <t>Tabla de origen del admisible S según el código seleccionado.</t>
        </r>
      </text>
    </comment>
    <comment ref="D14" authorId="0" shapeId="0" xr:uid="{00000000-0006-0000-0200-00000D000000}">
      <text>
        <r>
          <rPr>
            <sz val="10"/>
            <rFont val="Arial"/>
            <family val="2"/>
          </rPr>
          <t>Fuerza de membrana gobernante F = kf·P·Dm. Cilindro (aro): F=P·Dm/2 → kf=0,5. Esfera/cabezal: F=P·Dm/4 → kf=0,25 (PCC-2 Art. 212-3.2).</t>
        </r>
      </text>
    </comment>
    <comment ref="D18" authorId="0" shapeId="0" xr:uid="{00000000-0006-0000-0200-00000E000000}">
      <text>
        <r>
          <rPr>
            <sz val="10"/>
            <rFont val="Arial"/>
            <family val="2"/>
          </rPr>
          <t>Diámetro nominal. Con la cédula, determina OD y espesor por lookup en Datos_Ref (ASME B36.10M-2022).</t>
        </r>
      </text>
    </comment>
    <comment ref="D19" authorId="0" shapeId="0" xr:uid="{00000000-0006-0000-0200-00000F000000}">
      <text>
        <r>
          <rPr>
            <sz val="10"/>
            <rFont val="Arial"/>
            <family val="2"/>
          </rPr>
          <t>Cédula ASME B36.10M. Con el NPS define el espesor de pared.</t>
        </r>
      </text>
    </comment>
    <comment ref="D20" authorId="0" shapeId="0" xr:uid="{00000000-0006-0000-0200-000010000000}">
      <text>
        <r>
          <rPr>
            <sz val="10"/>
            <rFont val="Arial"/>
            <family val="2"/>
          </rPr>
          <t>Diámetro exterior. ASME B36.10M-2022, Table 2-1 (Datos_Ref).</t>
        </r>
      </text>
    </comment>
    <comment ref="D21" authorId="0" shapeId="0" xr:uid="{00000000-0006-0000-0200-000011000000}">
      <text>
        <r>
          <rPr>
            <sz val="10"/>
            <rFont val="Arial"/>
            <family val="2"/>
          </rPr>
          <t>Espesor de pared nominal. ASME B36.10M-2022, Table 2-1. Si resulta 0, esa cédula no está definida para ese NPS: elija otra.</t>
        </r>
      </text>
    </comment>
    <comment ref="D22" authorId="0" shapeId="0" xr:uid="{00000000-0006-0000-0200-000012000000}">
      <text>
        <r>
          <rPr>
            <sz val="10"/>
            <rFont val="Arial"/>
            <family val="2"/>
          </rPr>
          <t>Material del componente base (tubería o virola/cabezal). Define su esfuerzo admisible por código.</t>
        </r>
      </text>
    </comment>
    <comment ref="D23" authorId="0" shapeId="0" xr:uid="{00000000-0006-0000-0200-000013000000}">
      <text>
        <r>
          <rPr>
            <sz val="10"/>
            <rFont val="Arial"/>
            <family val="2"/>
          </rPr>
          <t>Material de la plancha del parche/collar. Define su esfuerzo admisible por código.</t>
        </r>
      </text>
    </comment>
    <comment ref="D25" authorId="0" shapeId="0" xr:uid="{00000000-0006-0000-0200-000014000000}">
      <text>
        <r>
          <rPr>
            <sz val="10"/>
            <rFont val="Arial"/>
            <family val="2"/>
          </rPr>
          <t>Temperatura de operación/diseño. La tabla de admisibles es para T ≤ 40 °C; para más, actualizar Sa.</t>
        </r>
      </text>
    </comment>
    <comment ref="D26" authorId="0" shapeId="0" xr:uid="{00000000-0006-0000-0200-000015000000}">
      <text>
        <r>
          <rPr>
            <sz val="10"/>
            <rFont val="Arial"/>
            <family val="2"/>
          </rPr>
          <t>Presión de operación.</t>
        </r>
      </text>
    </comment>
    <comment ref="D27" authorId="0" shapeId="0" xr:uid="{00000000-0006-0000-0200-000016000000}">
      <text>
        <r>
          <rPr>
            <sz val="10"/>
            <rFont val="Arial"/>
            <family val="2"/>
          </rPr>
          <t>Presión de diseño. Columna 'Diseño' del cálculo y verificación de excentricidad.</t>
        </r>
      </text>
    </comment>
    <comment ref="D28" authorId="0" shapeId="0" xr:uid="{00000000-0006-0000-0200-000017000000}">
      <text>
        <r>
          <rPr>
            <sz val="10"/>
            <rFont val="Arial"/>
            <family val="2"/>
          </rPr>
          <t>Cota superior (p. ej. rating de brida). Columna 'Envolvente' del cálculo.</t>
        </r>
      </text>
    </comment>
    <comment ref="D29" authorId="0" shapeId="0" xr:uid="{00000000-0006-0000-0200-000018000000}">
      <text>
        <r>
          <rPr>
            <sz val="10"/>
            <rFont val="Arial"/>
            <family val="2"/>
          </rPr>
          <t>Espesor de la plancha del parche. Gobierna robustez/soldabilidad, no la membrana.</t>
        </r>
      </text>
    </comment>
    <comment ref="D30" authorId="0" shapeId="0" xr:uid="{00000000-0006-0000-0200-000019000000}">
      <text>
        <r>
          <rPr>
            <sz val="10"/>
            <rFont val="Arial"/>
            <family val="2"/>
          </rPr>
          <t>Altura del collar (tubería) o dimensión del parche. Para peso y cobertura.</t>
        </r>
      </text>
    </comment>
    <comment ref="D31" authorId="0" shapeId="0" xr:uid="{00000000-0006-0000-0200-00001A000000}">
      <text>
        <r>
          <rPr>
            <sz val="10"/>
            <rFont val="Arial"/>
            <family val="2"/>
          </rPr>
          <t>Separación radial entre parche y componente. Afecta el desarrollo y, si ≥1,5 mm en el faying, se suma a la excentricidad (PCC-2 212-4(c)).</t>
        </r>
      </text>
    </comment>
    <comment ref="D32" authorId="0" shapeId="0" xr:uid="{00000000-0006-0000-0200-00001B000000}">
      <text>
        <r>
          <rPr>
            <sz val="10"/>
            <rFont val="Arial"/>
            <family val="2"/>
          </rPr>
          <t>Cateto de la soldadura de filete perimetral (adoptado). Se compara con w_mín.</t>
        </r>
      </text>
    </comment>
    <comment ref="D33" authorId="0" shapeId="0" xr:uid="{00000000-0006-0000-0200-00001C000000}">
      <text>
        <r>
          <rPr>
            <sz val="10"/>
            <rFont val="Arial"/>
            <family val="2"/>
          </rPr>
          <t>Solape del parche sobre metal sano, por extremo. PCC-2 Art. 212.</t>
        </r>
      </text>
    </comment>
    <comment ref="D34" authorId="0" shapeId="0" xr:uid="{00000000-0006-0000-0200-00001D000000}">
      <text>
        <r>
          <rPr>
            <sz val="10"/>
            <rFont val="Arial"/>
            <family val="2"/>
          </rPr>
          <t>Tamaño del defecto/fuga. La caracterización del mecanismo y extensión es requisito de PCC-2 Art. 212-2.</t>
        </r>
      </text>
    </comment>
    <comment ref="D35" authorId="0" shapeId="0" xr:uid="{00000000-0006-0000-0200-00001E000000}">
      <text>
        <r>
          <rPr>
            <sz val="10"/>
            <rFont val="Arial"/>
            <family val="2"/>
          </rPr>
          <t>Distancia del defecto a la discontinuidad estructural (brida, boquilla, cordón). Se compara con Lmín (ec. 3).</t>
        </r>
      </text>
    </comment>
    <comment ref="D39" authorId="0" shapeId="0" xr:uid="{00000000-0006-0000-0200-00001F000000}">
      <text>
        <r>
          <rPr>
            <sz val="10"/>
            <rFont val="Arial"/>
            <family val="2"/>
          </rPr>
          <t>Esfuerzo admisible del material del parche, según el código del selector (B31.3 Tabla A-1 o ASME II-D Tabla 1A). T ≤ 40 °C.</t>
        </r>
      </text>
    </comment>
    <comment ref="D40" authorId="0" shapeId="0" xr:uid="{00000000-0006-0000-0200-000020000000}">
      <text>
        <r>
          <rPr>
            <sz val="10"/>
            <rFont val="Arial"/>
            <family val="2"/>
          </rPr>
          <t>Esfuerzo admisible del componente base, por código. Gobierna el espesor requerido t_req.</t>
        </r>
      </text>
    </comment>
    <comment ref="D41" authorId="0" shapeId="0" xr:uid="{00000000-0006-0000-0200-000021000000}">
      <text>
        <r>
          <rPr>
            <sz val="10"/>
            <rFont val="Arial"/>
            <family val="2"/>
          </rPr>
          <t>Gobierna el menor entre parche y metal base. Se usa en el filete (ec. 4), la excentricidad (ec. 5) y la presión máxima admisible del parche.</t>
        </r>
      </text>
    </comment>
    <comment ref="D42" authorId="0" shapeId="0" xr:uid="{00000000-0006-0000-0200-000022000000}">
      <text>
        <r>
          <rPr>
            <sz val="10"/>
            <rFont val="Arial"/>
            <family val="2"/>
          </rPr>
          <t>Eficiencia de junta de la soldadura de filete. PCC-2 Art. 212-3.4, ec. 4 (valor 0,55).</t>
        </r>
      </text>
    </comment>
    <comment ref="D43" authorId="0" shapeId="0" xr:uid="{00000000-0006-0000-0200-000023000000}">
      <text>
        <r>
          <rPr>
            <sz val="10"/>
            <rFont val="Arial"/>
            <family val="2"/>
          </rPr>
          <t>Coeficiente Y de la ecuación de espesor de B31.3 (aceros ferríticos ≤ 480 °C: 0,4).</t>
        </r>
      </text>
    </comment>
    <comment ref="D44" authorId="0" shapeId="0" xr:uid="{00000000-0006-0000-0200-000024000000}">
      <text>
        <r>
          <rPr>
            <sz val="10"/>
            <rFont val="Arial"/>
            <family val="2"/>
          </rPr>
          <t>Eficiencia/calidad de junta longitudinal del componente: B31.3 (Ej) o VIII-1 UW-12 (E). Sin costura = 1,0.</t>
        </r>
      </text>
    </comment>
    <comment ref="D45" authorId="0" shapeId="0" xr:uid="{00000000-0006-0000-0200-000025000000}">
      <text>
        <r>
          <rPr>
            <sz val="10"/>
            <rFont val="Arial"/>
            <family val="2"/>
          </rPr>
          <t>Densidad del acero para el peso estimado.</t>
        </r>
      </text>
    </comment>
    <comment ref="D46" authorId="0" shapeId="0" xr:uid="{00000000-0006-0000-0200-000026000000}">
      <text>
        <r>
          <rPr>
            <sz val="10"/>
            <rFont val="Arial"/>
            <family val="2"/>
          </rPr>
          <t>Factor de presión de prueba hidrostática. B31.3 §345.4.2 (1,5). VIII-1 UG-99 usa 1,3 sobre MAWP.</t>
        </r>
      </text>
    </comment>
    <comment ref="D47" authorId="0" shapeId="0" xr:uid="{00000000-0006-0000-0200-000027000000}">
      <text>
        <r>
          <rPr>
            <sz val="10"/>
            <rFont val="Arial"/>
            <family val="2"/>
          </rPr>
          <t>Factor de conversión de presión.</t>
        </r>
      </text>
    </comment>
    <comment ref="D48" authorId="0" shapeId="0" xr:uid="{00000000-0006-0000-0200-000028000000}">
      <text>
        <r>
          <rPr>
            <sz val="10"/>
            <rFont val="Arial"/>
            <family val="2"/>
          </rPr>
          <t>Límite de la ec. 5: S_w ≤ 1,5·Sa (PCC-2 Art. 212-3.4(c)).</t>
        </r>
      </text>
    </comment>
    <comment ref="D52" authorId="0" shapeId="0" xr:uid="{00000000-0006-0000-0200-000029000000}">
      <text>
        <r>
          <rPr>
            <sz val="10"/>
            <rFont val="Arial"/>
            <family val="2"/>
          </rPr>
          <t>Diámetro a media pared. PCC-2 Art. 212-3.2.</t>
        </r>
      </text>
    </comment>
    <comment ref="D53" authorId="0" shapeId="0" xr:uid="{00000000-0006-0000-0200-00002A000000}">
      <text>
        <r>
          <rPr>
            <sz val="10"/>
            <rFont val="Arial"/>
            <family val="2"/>
          </rPr>
          <t>Radio a media pared. Se usa en Lmín (ec. 3).</t>
        </r>
      </text>
    </comment>
    <comment ref="D54" authorId="0" shapeId="0" xr:uid="{00000000-0006-0000-0200-00002B000000}">
      <text>
        <r>
          <rPr>
            <sz val="10"/>
            <rFont val="Arial"/>
            <family val="2"/>
          </rPr>
          <t>Radio interior. Se usa en el espesor requerido de VIII-1 (UG-27).</t>
        </r>
      </text>
    </comment>
    <comment ref="D55" authorId="0" shapeId="0" xr:uid="{00000000-0006-0000-0200-00002C000000}">
      <text>
        <r>
          <rPr>
            <sz val="10"/>
            <rFont val="Arial"/>
            <family val="2"/>
          </rPr>
          <t>Excentricidad de la trayectoria de carga del parche de solape. PCC-2 Art. 212-3.4(c). Si la luz de faying ≥ 1,5 mm, sumarla (212-4(c)).</t>
        </r>
      </text>
    </comment>
    <comment ref="D56" authorId="0" shapeId="0" xr:uid="{00000000-0006-0000-0200-00002D000000}">
      <text>
        <r>
          <rPr>
            <sz val="10"/>
            <rFont val="Arial"/>
            <family val="2"/>
          </rPr>
          <t>Radio de la fibra media del parche conformado. Para la deformación de conformado (ec. 7).</t>
        </r>
      </text>
    </comment>
    <comment ref="D57" authorId="0" shapeId="0" xr:uid="{00000000-0006-0000-0200-00002E000000}">
      <text>
        <r>
          <rPr>
            <sz val="10"/>
            <rFont val="Arial"/>
            <family val="2"/>
          </rPr>
          <t>Coeficiente tal que S_w = P·C_sw, con C_sw = kf·(Dm/T)·(1+6e/T). Reduce a la ec. 5 de PCC-2 para cilindro (kf=0,5) y la extiende a esfera (kf=0,25).</t>
        </r>
      </text>
    </comment>
    <comment ref="D61" authorId="0" shapeId="0" xr:uid="{00000000-0006-0000-0200-00002F000000}">
      <text>
        <r>
          <rPr>
            <sz val="10"/>
            <rFont val="Arial"/>
            <family val="2"/>
          </rPr>
          <t>Tres niveles: operación, diseño típico y envolvente (cota superior).</t>
        </r>
      </text>
    </comment>
    <comment ref="D63" authorId="0" shapeId="0" xr:uid="{00000000-0006-0000-0200-000030000000}">
      <text>
        <r>
          <rPr>
            <sz val="10"/>
            <rFont val="Arial"/>
            <family val="2"/>
          </rPr>
          <t>Fuerza de membrana por unidad de longitud. Cilindro: P·Dm/2 (aro, gobernante). Esfera/cabezal: P·Dm/4. PCC-2 Art. 212-3.2, ec. 1-2.</t>
        </r>
      </text>
    </comment>
    <comment ref="D64" authorId="0" shapeId="0" xr:uid="{00000000-0006-0000-0200-000031000000}">
      <text>
        <r>
          <rPr>
            <sz val="10"/>
            <rFont val="Arial"/>
            <family val="2"/>
          </rPr>
          <t>Cateto de filete requerido. PCC-2 Art. 212-3.4, ec. 4: w = F/(E·Sa), con E=0,55.</t>
        </r>
      </text>
    </comment>
    <comment ref="D65" authorId="0" shapeId="0" xr:uid="{00000000-0006-0000-0200-000032000000}">
      <text>
        <r>
          <rPr>
            <sz val="10"/>
            <rFont val="Arial"/>
            <family val="2"/>
          </rPr>
          <t>Espesor de pared requerido por presión, según el código: Tubería B31.3 t=PD/(2(SE+PY)); Virola VIII-1 UG-27 t=PR/(SE−0,6P); Cabezal/esfera UG-27(d) t=PR/(2SE−0,2P). R = radio interior.</t>
        </r>
      </text>
    </comment>
    <comment ref="D66" authorId="0" shapeId="0" xr:uid="{00000000-0006-0000-0200-000033000000}">
      <text>
        <r>
          <rPr>
            <sz val="10"/>
            <rFont val="Arial"/>
            <family val="2"/>
          </rPr>
          <t>Componente de membrana del esfuerzo en la soldadura: F/T. PCC-2 Art. 212-3.4(c), ec. 5.</t>
        </r>
      </text>
    </comment>
    <comment ref="D67" authorId="0" shapeId="0" xr:uid="{00000000-0006-0000-0200-000034000000}">
      <text>
        <r>
          <rPr>
            <sz val="10"/>
            <rFont val="Arial"/>
            <family val="2"/>
          </rPr>
          <t>Componente de flexión por excentricidad: 6·F·e/T². Equivale a 3·P·Dm·e/T² de PCC-2 ec.5 para cilindro.</t>
        </r>
      </text>
    </comment>
    <comment ref="D68" authorId="0" shapeId="0" xr:uid="{00000000-0006-0000-0200-000035000000}">
      <text>
        <r>
          <rPr>
            <sz val="10"/>
            <rFont val="Arial"/>
            <family val="2"/>
          </rPr>
          <t>Esfuerzo total en la soldadura por la excentricidad. Límite 1,5·Sa (PCC-2 Art. 212-3.4(c), ec. 5).</t>
        </r>
      </text>
    </comment>
    <comment ref="D73" authorId="0" shapeId="0" xr:uid="{00000000-0006-0000-0200-000036000000}">
      <text>
        <r>
          <rPr>
            <sz val="10"/>
            <rFont val="Arial"/>
            <family val="2"/>
          </rPr>
          <t>Distancia mínima (setback) a la discontinuidad estructural. PCC-2 Art. 212-3.3(a), ec. 3 (geometría cilíndrica). Si L_def &lt; Lmín, el parche se diseña como refuerzo 360° (212-3.3(c)).</t>
        </r>
      </text>
    </comment>
    <comment ref="D74" authorId="0" shapeId="0" xr:uid="{00000000-0006-0000-0200-000037000000}">
      <text>
        <r>
          <rPr>
            <sz val="10"/>
            <rFont val="Arial"/>
            <family val="2"/>
          </rPr>
          <t>Presión máxima admisible del parche por la ec. 5 (S_w = 1,5·Sa).</t>
        </r>
      </text>
    </comment>
    <comment ref="D75" authorId="0" shapeId="0" xr:uid="{00000000-0006-0000-0200-000038000000}">
      <text>
        <r>
          <rPr>
            <sz val="10"/>
            <rFont val="Arial"/>
            <family val="2"/>
          </rPr>
          <t>Presión máxima admisible del parche en kg/cm².</t>
        </r>
      </text>
    </comment>
    <comment ref="D76" authorId="0" shapeId="0" xr:uid="{00000000-0006-0000-0200-000039000000}">
      <text>
        <r>
          <rPr>
            <sz val="10"/>
            <rFont val="Arial"/>
            <family val="2"/>
          </rPr>
          <t>Relación entre la presión máxima admisible del parche y la de operación.</t>
        </r>
      </text>
    </comment>
    <comment ref="D77" authorId="0" shapeId="0" xr:uid="{00000000-0006-0000-0200-00003A000000}">
      <text>
        <r>
          <rPr>
            <sz val="10"/>
            <rFont val="Arial"/>
            <family val="2"/>
          </rPr>
          <t>Deformación de fibra externa por conformado en frío (curvatura simple). PCC-2 Art. 212-3.5, ec. 7. Límite 5%. (Doble curvatura: 75·T/Rf, ec. 6.)</t>
        </r>
      </text>
    </comment>
    <comment ref="D78" authorId="0" shapeId="0" xr:uid="{00000000-0006-0000-0200-00003B000000}">
      <text>
        <r>
          <rPr>
            <sz val="10"/>
            <rFont val="Arial"/>
            <family val="2"/>
          </rPr>
          <t>Desarrollo (longitud en plano) de una media carcasa (180°), a fibra media. Aplica al collar de encierro total en tubería.</t>
        </r>
      </text>
    </comment>
    <comment ref="D79" authorId="0" shapeId="0" xr:uid="{00000000-0006-0000-0200-00003C000000}">
      <text>
        <r>
          <rPr>
            <sz val="10"/>
            <rFont val="Arial"/>
            <family val="2"/>
          </rPr>
          <t>Longitud de corte = desarrollo menos la luz de raíz de las 2 juntas longitudinales.</t>
        </r>
      </text>
    </comment>
    <comment ref="D80" authorId="0" shapeId="0" xr:uid="{00000000-0006-0000-0200-00003D000000}">
      <text>
        <r>
          <rPr>
            <sz val="10"/>
            <rFont val="Arial"/>
            <family val="2"/>
          </rPr>
          <t>Peso estimado (2 medias carcasas de L×H×T). Para parche local, ajustar la geometría.</t>
        </r>
      </text>
    </comment>
    <comment ref="A84" authorId="0" shapeId="0" xr:uid="{00000000-0006-0000-0200-000001000000}">
      <text>
        <r>
          <rPr>
            <sz val="10"/>
            <rFont val="Arial"/>
            <family val="2"/>
          </rPr>
          <t>PCC-2 Art. 212-3.4, ec. 4. El cateto adoptado debe superar el requerido en la presión envolvente.</t>
        </r>
      </text>
    </comment>
    <comment ref="A85" authorId="0" shapeId="0" xr:uid="{00000000-0006-0000-0200-000002000000}">
      <text>
        <r>
          <rPr>
            <sz val="10"/>
            <rFont val="Arial"/>
            <family val="2"/>
          </rPr>
          <t>PCC-2 Art. 212-3.4(c), ec. 5. Verificado a la presión de diseño.</t>
        </r>
      </text>
    </comment>
    <comment ref="A86" authorId="0" shapeId="0" xr:uid="{00000000-0006-0000-0200-000003000000}">
      <text>
        <r>
          <rPr>
            <sz val="10"/>
            <rFont val="Arial"/>
            <family val="2"/>
          </rPr>
          <t>PCC-2 Art. 212-3.5, ec. 7 (curvatura simple).</t>
        </r>
      </text>
    </comment>
    <comment ref="A87" authorId="0" shapeId="0" xr:uid="{00000000-0006-0000-0200-000004000000}">
      <text>
        <r>
          <rPr>
            <sz val="10"/>
            <rFont val="Arial"/>
            <family val="2"/>
          </rPr>
          <t>Espesor de pared del componente base vs. el requerido por presión (B31.3 o VIII-1 UG-27) en la presión envolvente.</t>
        </r>
      </text>
    </comment>
    <comment ref="A88" authorId="0" shapeId="0" xr:uid="{00000000-0006-0000-0200-000005000000}">
      <text>
        <r>
          <rPr>
            <sz val="10"/>
            <rFont val="Arial"/>
            <family val="2"/>
          </rPr>
          <t>PCC-2 Art. 212-3.3. Si L_def &lt; Lmín, diseñar como refuerzo 360° que rodea la abertura (212-3.3(c)).</t>
        </r>
      </text>
    </comment>
    <comment ref="A89" authorId="0" shapeId="0" xr:uid="{00000000-0006-0000-0200-000006000000}">
      <text>
        <r>
          <rPr>
            <sz val="10"/>
            <rFont val="Arial"/>
            <family val="2"/>
          </rPr>
          <t>Si la presión de diseño supera la máxima admisible del parche de solape, migrar a camisa tipo B con soldaduras circunferenciales de penetración completa (PCC-2 Art. 206).</t>
        </r>
      </text>
    </comment>
    <comment ref="F90" authorId="0" shapeId="0" xr:uid="{00000000-0006-0000-0200-00003E000000}">
      <text>
        <r>
          <rPr>
            <sz val="10"/>
            <rFont val="Arial"/>
            <family val="2"/>
          </rPr>
          <t>APTO si cumplen filete, excentricidad, conformado y espesor. La ubicación y la presión-vs-parche orientan el tipo de refuerzo (parche local/360°/Tipo B).</t>
        </r>
      </text>
    </comment>
    <comment ref="A93" authorId="0" shapeId="0" xr:uid="{00000000-0006-0000-0200-000007000000}">
      <text>
        <r>
          <rPr>
            <sz val="10"/>
            <rFont val="Arial"/>
            <family val="2"/>
          </rPr>
          <t>Se arma con el selector de aplicación/código y los materiales/geometría de entrada.</t>
        </r>
      </text>
    </comment>
    <comment ref="A99" authorId="0" shapeId="0" xr:uid="{00000000-0006-0000-0200-000008000000}">
      <text>
        <r>
          <rPr>
            <sz val="10"/>
            <rFont val="Arial"/>
            <family val="2"/>
          </rPr>
          <t>La presión de prueba usa el factor de la celda §Parámetros (1,5 B31.3 / 1,3 VIII-1 UG-99).</t>
        </r>
      </text>
    </comment>
  </commentList>
</comments>
</file>

<file path=xl/sharedStrings.xml><?xml version="1.0" encoding="utf-8"?>
<sst xmlns="http://schemas.openxmlformats.org/spreadsheetml/2006/main" count="348" uniqueCount="260">
  <si>
    <t>MOTOR DE CÁLCULO — ASME PCC (CÓDIGOS POST-CONSTRUCCIÓN)</t>
  </si>
  <si>
    <t>Reparación, montaje e inspección de equipos a presión y tubería según la familia ASME PCC (PCC-1 / PCC-2 / PCC-3) · Códigos de construcción de referencia: ASME B31.3 y ASME BPVC VIII-1</t>
  </si>
  <si>
    <t>Objeto</t>
  </si>
  <si>
    <t>Estandariza y automatiza los cálculos y las especificaciones técnicas del ciclo de integridad de equipos a presión y tubería bajo la familia de códigos post-construcción ASME PCC, tanto para tubería (ASME B31.3) como para recipientes (ASME BPVC VIII-1). Cada pestaña cubre un caso o artículo de ASME PCC según la aplicación.</t>
  </si>
  <si>
    <t>Familia ASME PCC</t>
  </si>
  <si>
    <t>• ASME PCC-1 — Pressure Boundary Bolted Flange Joint Assembly (montaje/apriete de uniones bridadas).
• ASME PCC-2 — Repair of Pressure Equipment and Piping (métodos de reparación).
• ASME PCC-3 — Inspection Planning Using Risk-Based Methods (planificación de inspección basada en riesgo).</t>
  </si>
  <si>
    <t>Módulos (pestañas)</t>
  </si>
  <si>
    <t>Módulo actual: «Parche_PCC2_Art212» — parche/collar de refuerzo soldado (ASME PCC-2, Art. 212/206), parametrizado por aplicación/código y con un caso precargado. Copie la pestaña para un caso nuevo. Módulos previstos: otros artículos de PCC-2 (insert plate 201, weld overlay 211, caja de fuga 204, soldadura en servicio 210) y utilidades de PCC-1 y PCC-3.
«Datos_Ref»: dimensiones de tubería (ASME B36.10M-2022) y esfuerzos admisibles por código.</t>
  </si>
  <si>
    <t>Cómo se usa</t>
  </si>
  <si>
    <t>Edite únicamente las celdas de ENTRADA (texto azul sobre fondo amarillo). El resto está bloqueado y se recalcula solo. En cada módulo, empiece por el selector «Aplicación / Código», que conmuta el esfuerzo admisible, la fórmula de espesor requerido y la fuerza de membrana según sea tubería o recipiente.</t>
  </si>
  <si>
    <t>Protección</t>
  </si>
  <si>
    <t>Las hojas están protegidas para preservar las fórmulas. Contraseña preliminar: 0000 (Revisar → Desproteger hoja). Solo las celdas de entrada quedan desbloqueadas.</t>
  </si>
  <si>
    <t>Comentarios</t>
  </si>
  <si>
    <t>Cada celda de cálculo tiene un comentario (triángulo rojo) con la referencia del artículo/ecuación ASME o una nota técnica. Pase el cursor para verlo.</t>
  </si>
  <si>
    <t>Unidades</t>
  </si>
  <si>
    <t>Sistema internacional (SI). Presiones en kg/cm² (se convierten a MPa). Longitudes en mm; esfuerzos en MPa.</t>
  </si>
  <si>
    <t>Leyenda</t>
  </si>
  <si>
    <t>Azul sobre amarillo = entrada editable · negro = resultado por fórmula · verde = CUMPLE/APTO · rojo = NO CUMPLE/revisar.</t>
  </si>
  <si>
    <t>Base normativa</t>
  </si>
  <si>
    <t>Cada módulo sigue el artículo de ASME PCC aplicable (p. ej., PCC-2 Art. 212 para parches de filete), con el esfuerzo admisible y la ecuación de espesor del código de construcción que gobierna: ASME B31.3 (tubería) o ASME BPVC VIII-1 (recipientes). Conforme a PCC-2 §101-3.10, los cálculos usan el admisible del código de construcción/post-construcción.</t>
  </si>
  <si>
    <t>Aviso</t>
  </si>
  <si>
    <t>Herramienta de ingeniería de referencia. Verificar entradas y resultados; complementar con WPS/PQR, ATS/JSA y registros del propietario. Revisión y aprobación por personal calificado antes de ejecutar.</t>
  </si>
  <si>
    <t>DATOS DE REFERENCIA</t>
  </si>
  <si>
    <t>Alimenta los lookups del motor. Verificar contra la edición vigente de las normas antes de emitir.</t>
  </si>
  <si>
    <t>A. DIMENSIONES DE TUBERÍA — ASME B36.10M-2022 (Tabla 2-1): OD y espesor de pared (mm) por cédula.  Celda vacía = cédula no definida para ese NPS.</t>
  </si>
  <si>
    <t>NPS (in)</t>
  </si>
  <si>
    <t>OD (mm)</t>
  </si>
  <si>
    <t>5</t>
  </si>
  <si>
    <t>10</t>
  </si>
  <si>
    <t>20</t>
  </si>
  <si>
    <t>30</t>
  </si>
  <si>
    <t>40</t>
  </si>
  <si>
    <t>60</t>
  </si>
  <si>
    <t>80</t>
  </si>
  <si>
    <t>100</t>
  </si>
  <si>
    <t>120</t>
  </si>
  <si>
    <t>140</t>
  </si>
  <si>
    <t>160</t>
  </si>
  <si>
    <t>STD</t>
  </si>
  <si>
    <t>XS</t>
  </si>
  <si>
    <t>XXS</t>
  </si>
  <si>
    <t>B. ESFUERZOS ADMISIBLES S (MPa) — acero al carbono, T ≤ 40 °C.  Sa(B31.3)=Tabla A-1 (factor 3,0 sobre tracción);  Sa(VIII-1)=ASME II-D Tabla 1A (factor 3,5).</t>
  </si>
  <si>
    <t>Material</t>
  </si>
  <si>
    <t>Sa B31.3</t>
  </si>
  <si>
    <t>Sa VIII-1</t>
  </si>
  <si>
    <t>A106 Gr.B</t>
  </si>
  <si>
    <t>A516 Gr.70</t>
  </si>
  <si>
    <t>A105</t>
  </si>
  <si>
    <t>A285 Gr.C</t>
  </si>
  <si>
    <t>A333 Gr.6</t>
  </si>
  <si>
    <t>A53 Gr.B</t>
  </si>
  <si>
    <t>Notas: (1) OD y espesor según ASME B36.10M-2022, Table 2-1. (2) Para NPS ≥ 26 solo se tabulan cédulas de uso corriente. (3) Sa a T ≤ 40 °C; para otras temperaturas usar B31.3 Tabla A-1 / ASME II-D Tabla 1A completas.</t>
  </si>
  <si>
    <t>MOTOR DE CÁLCULO — PARCHE / COLLAR DE REFUERZO SOLDADO</t>
  </si>
  <si>
    <t>ASME PCC-2-2022, Art. 212/206 · Parametrizado por aplicación/código · Caso precargado: Línea 12"-CWS-46-032-B1 (U46)</t>
  </si>
  <si>
    <t>IDENTIFICACIÓN</t>
  </si>
  <si>
    <t>Documento</t>
  </si>
  <si>
    <t>MC-REP-U46-CWS-032</t>
  </si>
  <si>
    <t>Rev.: 0</t>
  </si>
  <si>
    <t>Componente / servicio</t>
  </si>
  <si>
    <t>Cuello de brida WN 12" Cl.150 · Agua de enfriamiento</t>
  </si>
  <si>
    <t>Unidad: U46</t>
  </si>
  <si>
    <t>APLICACIÓN Y CÓDIGO DE CONSTRUCCIÓN  (selector que conmuta S, t_req y la fuerza de membrana)</t>
  </si>
  <si>
    <t>Parámetro</t>
  </si>
  <si>
    <t>Símbolo</t>
  </si>
  <si>
    <t>Unidad</t>
  </si>
  <si>
    <t>Valor</t>
  </si>
  <si>
    <t>Referencia / Notas</t>
  </si>
  <si>
    <t>Aplicación / geometría</t>
  </si>
  <si>
    <t>—</t>
  </si>
  <si>
    <t>Tubería (B31.3)</t>
  </si>
  <si>
    <t>Lista desplegable</t>
  </si>
  <si>
    <t>Modo (1=tubería, 2=virola, 3=cabezal)</t>
  </si>
  <si>
    <t>MODO</t>
  </si>
  <si>
    <t>Derivado del selector</t>
  </si>
  <si>
    <t>Código de construcción</t>
  </si>
  <si>
    <t>Automático</t>
  </si>
  <si>
    <t>Fuente del esfuerzo admisible</t>
  </si>
  <si>
    <t>Factor de geometría (membrana)</t>
  </si>
  <si>
    <t>kf</t>
  </si>
  <si>
    <t>Cil.=0,5 · Esfera=0,25</t>
  </si>
  <si>
    <t>1.  DATOS DE ENTRADA  (celdas azules sobre fondo amarillo = editables)</t>
  </si>
  <si>
    <t>Diámetro nominal</t>
  </si>
  <si>
    <t>NPS</t>
  </si>
  <si>
    <t>in</t>
  </si>
  <si>
    <t>Lista · B36.10M</t>
  </si>
  <si>
    <t>Cédula (Schedule)</t>
  </si>
  <si>
    <t>SCH</t>
  </si>
  <si>
    <t>Diámetro exterior</t>
  </si>
  <si>
    <t>OD</t>
  </si>
  <si>
    <t>mm</t>
  </si>
  <si>
    <t>B36.10M-2022 (auto)</t>
  </si>
  <si>
    <t>Espesor de pared</t>
  </si>
  <si>
    <t>t</t>
  </si>
  <si>
    <t>Material de tubería / envolvente</t>
  </si>
  <si>
    <t>Lista · Datos_Ref</t>
  </si>
  <si>
    <t>Material del collar / parche</t>
  </si>
  <si>
    <t>Fluido</t>
  </si>
  <si>
    <t>Agua de enfriamiento</t>
  </si>
  <si>
    <t>Temperatura de operación</t>
  </si>
  <si>
    <t>T</t>
  </si>
  <si>
    <t>°C</t>
  </si>
  <si>
    <t>Hoja de proceso</t>
  </si>
  <si>
    <t>Presión de operación</t>
  </si>
  <si>
    <t>P_op</t>
  </si>
  <si>
    <t>kg/cm²</t>
  </si>
  <si>
    <t>Presión de diseño (típica)</t>
  </si>
  <si>
    <t>P_dis</t>
  </si>
  <si>
    <t>Por confirmar</t>
  </si>
  <si>
    <t>Presión envolvente (cota superior)</t>
  </si>
  <si>
    <t>P_env</t>
  </si>
  <si>
    <t>Rating / envolvente</t>
  </si>
  <si>
    <t>Espesor del parche/collar</t>
  </si>
  <si>
    <t>T_c</t>
  </si>
  <si>
    <t>Adoptado (≥ pared)</t>
  </si>
  <si>
    <t>Altura / dimensión del parche</t>
  </si>
  <si>
    <t>H</t>
  </si>
  <si>
    <t>Del plano</t>
  </si>
  <si>
    <t>Luz radial parche–componente</t>
  </si>
  <si>
    <t>luz</t>
  </si>
  <si>
    <t>≤ 2 mm</t>
  </si>
  <si>
    <t>Cateto del filete perimetral</t>
  </si>
  <si>
    <t>w</t>
  </si>
  <si>
    <t>Adoptado</t>
  </si>
  <si>
    <t>Solape mínimo sobre metal sano</t>
  </si>
  <si>
    <t>Art. 212</t>
  </si>
  <si>
    <t>Diámetro del defecto</t>
  </si>
  <si>
    <t>d_def</t>
  </si>
  <si>
    <t>Caracterizar UT/PT</t>
  </si>
  <si>
    <t>Distancia defecto–discontinuidad</t>
  </si>
  <si>
    <t>L_def</t>
  </si>
  <si>
    <t>A cordón/boquilla</t>
  </si>
  <si>
    <t>PARÁMETROS DE CÁLCULO (constantes — editables)</t>
  </si>
  <si>
    <t>Esf. admisible del collar</t>
  </si>
  <si>
    <t>Sa_c</t>
  </si>
  <si>
    <t>MPa</t>
  </si>
  <si>
    <t>Por código · Datos_Ref</t>
  </si>
  <si>
    <t>Esf. admisible del metal base</t>
  </si>
  <si>
    <t>Sa_b</t>
  </si>
  <si>
    <t>Esf. admisible gobernante</t>
  </si>
  <si>
    <t>Sa</t>
  </si>
  <si>
    <t>menor de collar / base</t>
  </si>
  <si>
    <t>Eficiencia de junta de filete</t>
  </si>
  <si>
    <t>E</t>
  </si>
  <si>
    <t>Art. 212 ec. 4</t>
  </si>
  <si>
    <t>Factor Y (B31.3)</t>
  </si>
  <si>
    <t>Y</t>
  </si>
  <si>
    <t>B31.3 Tabla 304.1.1</t>
  </si>
  <si>
    <t>Eficiencia de junta long. (E)</t>
  </si>
  <si>
    <t>E_j</t>
  </si>
  <si>
    <t>Sin costura=1,0</t>
  </si>
  <si>
    <t>Densidad del acero</t>
  </si>
  <si>
    <t>ρ</t>
  </si>
  <si>
    <t>kg/m³</t>
  </si>
  <si>
    <t>Factor de prueba hidrostática</t>
  </si>
  <si>
    <t>B31.3 345.4.2</t>
  </si>
  <si>
    <t>Conversión de presión</t>
  </si>
  <si>
    <t>kg/cm²→MPa</t>
  </si>
  <si>
    <t>1 kg/cm²=0,0980665 MPa</t>
  </si>
  <si>
    <t>Límite de esfuerzo (excentricidad)</t>
  </si>
  <si>
    <t>1,5·Sa</t>
  </si>
  <si>
    <t>Art. 212 ec. 5</t>
  </si>
  <si>
    <t>2.  GEOMETRÍA Y PROPIEDADES DERIVADAS</t>
  </si>
  <si>
    <t>Fórmula / Referencia</t>
  </si>
  <si>
    <t>Diámetro a media pared</t>
  </si>
  <si>
    <t>Dm</t>
  </si>
  <si>
    <t>Dm = OD − t</t>
  </si>
  <si>
    <t>Radio medio</t>
  </si>
  <si>
    <t>Rm</t>
  </si>
  <si>
    <t>Rm = Dm/2</t>
  </si>
  <si>
    <t>Radio interior</t>
  </si>
  <si>
    <t>R_i</t>
  </si>
  <si>
    <t>Ri = OD/2 − t</t>
  </si>
  <si>
    <t>Excentricidad de la carga</t>
  </si>
  <si>
    <t>e</t>
  </si>
  <si>
    <t>e = (T + t)/2</t>
  </si>
  <si>
    <t>Radio de conformado (fibra media)</t>
  </si>
  <si>
    <t>Rf</t>
  </si>
  <si>
    <t>Rf = OD/2 + luz + T/2</t>
  </si>
  <si>
    <t>Coef. de esfuerzo por presión</t>
  </si>
  <si>
    <t>C_sw</t>
  </si>
  <si>
    <t>MPa/MPa</t>
  </si>
  <si>
    <t>S_w = P·C_sw</t>
  </si>
  <si>
    <t>3.  CÁLCULO DE CARGAS Y SOLDADURA  (ASME PCC-2, Art. 212)</t>
  </si>
  <si>
    <t>Operación</t>
  </si>
  <si>
    <t>Diseño típico</t>
  </si>
  <si>
    <t>Envolvente</t>
  </si>
  <si>
    <t>Referencia</t>
  </si>
  <si>
    <t>Presión evaluada</t>
  </si>
  <si>
    <t>P</t>
  </si>
  <si>
    <t>Entradas §1</t>
  </si>
  <si>
    <t>P·0,0980665</t>
  </si>
  <si>
    <t>Fuerza de membrana gobernante</t>
  </si>
  <si>
    <t>F_m</t>
  </si>
  <si>
    <t>N/mm</t>
  </si>
  <si>
    <t>ec.1: kf·P·Dm</t>
  </si>
  <si>
    <t>Filete requerido</t>
  </si>
  <si>
    <t>w_mín</t>
  </si>
  <si>
    <t>ec.4: F/(E·Sa)</t>
  </si>
  <si>
    <t>Espesor de pared requerido</t>
  </si>
  <si>
    <t>t_req</t>
  </si>
  <si>
    <t>B31.3 / VIII-1 UG-27</t>
  </si>
  <si>
    <t>Esfuerzo soldadura — membrana</t>
  </si>
  <si>
    <t>S_w,m</t>
  </si>
  <si>
    <t>ec.5 (memb.)=F/T</t>
  </si>
  <si>
    <t>Esfuerzo soldadura — flexión</t>
  </si>
  <si>
    <t>S_w,f</t>
  </si>
  <si>
    <t>ec.5 (flex.)=6F·e/T²</t>
  </si>
  <si>
    <t>Esfuerzo soldadura — total</t>
  </si>
  <si>
    <t>S_w</t>
  </si>
  <si>
    <t>ec.5: ≤ 1,5·Sa</t>
  </si>
  <si>
    <t>¿S_w ≤ 1,5·Sa?</t>
  </si>
  <si>
    <t>Verificación por presión</t>
  </si>
  <si>
    <t>4.  RESULTADOS DEL DISEÑO</t>
  </si>
  <si>
    <t>Distancia a la discontinuidad</t>
  </si>
  <si>
    <t>L_mín</t>
  </si>
  <si>
    <t>ec.3: 2·√(Rm·t)</t>
  </si>
  <si>
    <t>Presión máx. admisible del parche</t>
  </si>
  <si>
    <t>P_máx</t>
  </si>
  <si>
    <t>1,5·Sa / C_sw</t>
  </si>
  <si>
    <t>Margen sobre la operación</t>
  </si>
  <si>
    <t>×</t>
  </si>
  <si>
    <t>P_máx / P_op</t>
  </si>
  <si>
    <t>Deformación por conformado</t>
  </si>
  <si>
    <t>%</t>
  </si>
  <si>
    <t>ec.7: 50·T/Rf ≤ 5%</t>
  </si>
  <si>
    <t>Desarrollo por media carcasa</t>
  </si>
  <si>
    <t>L</t>
  </si>
  <si>
    <t>(π/2)·(OD+2·luz+e)</t>
  </si>
  <si>
    <t>Longitud de corte (media carcasa)</t>
  </si>
  <si>
    <t>menos luz de raíz</t>
  </si>
  <si>
    <t>Peso del parche/collar</t>
  </si>
  <si>
    <t>kg</t>
  </si>
  <si>
    <t>2·L·H·T·ρ</t>
  </si>
  <si>
    <t>5.  VERIFICACIONES  (criterios de aceptación)</t>
  </si>
  <si>
    <t>Verificación</t>
  </si>
  <si>
    <t>Requerido</t>
  </si>
  <si>
    <t>Resultado</t>
  </si>
  <si>
    <t>Criterio</t>
  </si>
  <si>
    <t>Filete perimetral (cateto)</t>
  </si>
  <si>
    <t>w ≥ w_mín (envolvente)</t>
  </si>
  <si>
    <t>Excentricidad de la soldadura (diseño)</t>
  </si>
  <si>
    <t>S_w(diseño) ≤ 1,5·Sa</t>
  </si>
  <si>
    <t>Conformado en frío</t>
  </si>
  <si>
    <t>≤ 5 % (ec. 7)</t>
  </si>
  <si>
    <t>Espesor de pared (envolvente)</t>
  </si>
  <si>
    <t>t ≥ t_req</t>
  </si>
  <si>
    <t>Ubicación del defecto</t>
  </si>
  <si>
    <t>L_def vs L_mín</t>
  </si>
  <si>
    <t>Presión de diseño vs. parche</t>
  </si>
  <si>
    <t>P_dis ≤ P_máx del parche</t>
  </si>
  <si>
    <t>DICTAMEN GLOBAL DEL DISEÑO</t>
  </si>
  <si>
    <t>6.  ESPECIFICACIONES TÉCNICAS  (generadas automáticamente a partir de las entradas)</t>
  </si>
  <si>
    <t>Método</t>
  </si>
  <si>
    <t>Juntas de cierre</t>
  </si>
  <si>
    <t>Filetes perimetrales</t>
  </si>
  <si>
    <t>Soldadura en servicio (Art. 210)</t>
  </si>
  <si>
    <t>Ensayos no destructivos</t>
  </si>
  <si>
    <t>Recubrimiento (ejemplo Repsol)</t>
  </si>
  <si>
    <t>Prueba de hermeticidad</t>
  </si>
  <si>
    <t>Herramienta de ingeniería de referencia. Verificar entradas y resultados; complementar con WPS/PQR, ATS/JSA y registros del propietario. Cálculos según ASME PCC-2-2022 (Art. 212/206), ASME B31.3 y ASME BPVC VIII-1.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</si>
</sst>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00"/>
    <numFmt numFmtId="166" formatCode="0.000"/>
  </numFmts>
  <fonts count="21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i/>
      <sz val="9"/>
      <color rgb="FFFFFFFF"/>
      <name val="Arial"/>
      <charset val="1"/>
    </font>
    <font>
      <b/>
      <sz val="10"/>
      <color rgb="FF1F4E79"/>
      <name val="Arial"/>
      <charset val="1"/>
    </font>
    <font>
      <sz val="10"/>
      <color rgb="FF1A1A1A"/>
      <name val="Arial"/>
      <charset val="1"/>
    </font>
    <font>
      <b/>
      <sz val="13"/>
      <color rgb="FFFFFFFF"/>
      <name val="Arial"/>
      <charset val="1"/>
    </font>
    <font>
      <i/>
      <sz val="8"/>
      <color rgb="FF7A7A7A"/>
      <name val="Arial"/>
      <charset val="1"/>
    </font>
    <font>
      <b/>
      <sz val="8"/>
      <color rgb="FFFFFFFF"/>
      <name val="Arial"/>
      <charset val="1"/>
    </font>
    <font>
      <b/>
      <sz val="8"/>
      <color rgb="FF1A1A1A"/>
      <name val="Arial"/>
      <charset val="1"/>
    </font>
    <font>
      <sz val="8"/>
      <color rgb="FF1A1A1A"/>
      <name val="Arial"/>
      <charset val="1"/>
    </font>
    <font>
      <b/>
      <sz val="9"/>
      <color rgb="FF1A1A1A"/>
      <name val="Arial"/>
      <charset val="1"/>
    </font>
    <font>
      <sz val="9"/>
      <color rgb="FF1A1A1A"/>
      <name val="Arial"/>
      <charset val="1"/>
    </font>
    <font>
      <sz val="10"/>
      <name val="Arial"/>
      <family val="2"/>
    </font>
    <font>
      <b/>
      <sz val="10"/>
      <color rgb="FFFFFFFF"/>
      <name val="Arial"/>
      <charset val="1"/>
    </font>
    <font>
      <b/>
      <sz val="9"/>
      <color rgb="FF0000CC"/>
      <name val="Arial"/>
      <charset val="1"/>
    </font>
    <font>
      <b/>
      <sz val="9"/>
      <color rgb="FFFFFFFF"/>
      <name val="Arial"/>
      <charset val="1"/>
    </font>
    <font>
      <i/>
      <sz val="9"/>
      <color rgb="FF0D7C7C"/>
      <name val="Arial"/>
      <charset val="1"/>
    </font>
    <font>
      <b/>
      <sz val="10"/>
      <color rgb="FF0000CC"/>
      <name val="Arial"/>
      <charset val="1"/>
    </font>
    <font>
      <b/>
      <sz val="11"/>
      <color rgb="FFFFFFFF"/>
      <name val="Arial"/>
      <charset val="1"/>
    </font>
    <font>
      <b/>
      <sz val="12"/>
      <color rgb="FF1A1A1A"/>
      <name val="Arial"/>
      <charset val="1"/>
    </font>
    <font>
      <b/>
      <sz val="9"/>
      <color rgb="FF1F4E79"/>
      <name val="Arial"/>
      <charset val="1"/>
    </font>
  </fonts>
  <fills count="9">
    <fill>
      <patternFill patternType="none"/>
    </fill>
    <fill>
      <patternFill patternType="gray125"/>
    </fill>
    <fill>
      <patternFill patternType="solid">
        <fgColor rgb="FF16304F"/>
        <bgColor rgb="FF1A1A1A"/>
      </patternFill>
    </fill>
    <fill>
      <patternFill patternType="solid">
        <fgColor rgb="FF305496"/>
        <bgColor rgb="FF1F4E79"/>
      </patternFill>
    </fill>
    <fill>
      <patternFill patternType="solid">
        <fgColor rgb="FFF3F6FA"/>
        <bgColor rgb="FFFFFFFF"/>
      </patternFill>
    </fill>
    <fill>
      <patternFill patternType="solid">
        <fgColor rgb="FFFFFFFF"/>
        <bgColor rgb="FFF3F6FA"/>
      </patternFill>
    </fill>
    <fill>
      <patternFill patternType="solid">
        <fgColor rgb="FFDDE6F0"/>
        <bgColor rgb="FFE2EFDA"/>
      </patternFill>
    </fill>
    <fill>
      <patternFill patternType="solid">
        <fgColor rgb="FF1F4E79"/>
        <bgColor rgb="FF305496"/>
      </patternFill>
    </fill>
    <fill>
      <patternFill patternType="solid">
        <fgColor rgb="FFFFF7DC"/>
        <bgColor rgb="FFF3F6FA"/>
      </patternFill>
    </fill>
  </fills>
  <borders count="2">
    <border>
      <left/>
      <right/>
      <top/>
      <bottom/>
      <diagonal/>
    </border>
    <border>
      <left style="thin">
        <color rgb="FFBFC9D4"/>
      </left>
      <right style="thin">
        <color rgb="FFBFC9D4"/>
      </right>
      <top style="thin">
        <color rgb="FFBFC9D4"/>
      </top>
      <bottom style="thin">
        <color rgb="FFBFC9D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1" fillId="0" borderId="1" xfId="0" applyFont="1" applyBorder="1" applyAlignment="1">
      <alignment horizontal="left" vertical="top" wrapText="1"/>
    </xf>
    <xf numFmtId="0" fontId="18" fillId="7" borderId="0" xfId="0" applyFont="1" applyFill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14" fillId="8" borderId="1" xfId="0" applyFont="1" applyFill="1" applyBorder="1" applyAlignment="1" applyProtection="1">
      <alignment horizontal="left" vertical="center" wrapText="1"/>
      <protection locked="0"/>
    </xf>
    <xf numFmtId="0" fontId="13" fillId="7" borderId="0" xfId="0" applyFont="1" applyFill="1" applyAlignment="1">
      <alignment horizontal="left" vertical="center" wrapText="1"/>
    </xf>
    <xf numFmtId="0" fontId="6" fillId="0" borderId="0" xfId="0" applyFont="1" applyAlignment="1">
      <alignment horizontal="left" vertical="top" wrapText="1"/>
    </xf>
    <xf numFmtId="0" fontId="7" fillId="3" borderId="0" xfId="0" applyFont="1" applyFill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left" vertical="top" wrapText="1"/>
    </xf>
    <xf numFmtId="0" fontId="4" fillId="4" borderId="0" xfId="0" applyFont="1" applyFill="1" applyAlignment="1">
      <alignment horizontal="left" vertical="top" wrapText="1"/>
    </xf>
    <xf numFmtId="0" fontId="4" fillId="5" borderId="0" xfId="0" applyFont="1" applyFill="1" applyAlignment="1">
      <alignment horizontal="left" vertical="top" wrapText="1"/>
    </xf>
    <xf numFmtId="0" fontId="8" fillId="6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164" fontId="9" fillId="0" borderId="1" xfId="0" applyNumberFormat="1" applyFont="1" applyBorder="1" applyAlignment="1">
      <alignment horizontal="center" vertical="center" wrapText="1"/>
    </xf>
    <xf numFmtId="2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164" fontId="9" fillId="4" borderId="1" xfId="0" applyNumberFormat="1" applyFont="1" applyFill="1" applyBorder="1" applyAlignment="1">
      <alignment horizontal="center" vertical="center" wrapText="1"/>
    </xf>
    <xf numFmtId="2" fontId="9" fillId="4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left" vertical="center" wrapText="1"/>
    </xf>
    <xf numFmtId="164" fontId="11" fillId="0" borderId="1" xfId="0" applyNumberFormat="1" applyFont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left" vertical="center" wrapText="1"/>
    </xf>
    <xf numFmtId="164" fontId="11" fillId="4" borderId="1" xfId="0" applyNumberFormat="1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0" fillId="0" borderId="1" xfId="0" applyBorder="1"/>
    <xf numFmtId="0" fontId="15" fillId="3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7" fillId="8" borderId="1" xfId="0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>
      <alignment horizontal="left" vertical="center" wrapText="1"/>
    </xf>
    <xf numFmtId="1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2" fontId="4" fillId="0" borderId="1" xfId="0" applyNumberFormat="1" applyFont="1" applyBorder="1" applyAlignment="1">
      <alignment horizontal="center" vertical="center" wrapText="1"/>
    </xf>
    <xf numFmtId="1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4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4" fontId="4" fillId="0" borderId="1" xfId="0" applyNumberFormat="1" applyFont="1" applyBorder="1" applyAlignment="1">
      <alignment horizontal="center" vertical="center" wrapText="1"/>
    </xf>
    <xf numFmtId="2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5" fontId="4" fillId="0" borderId="1" xfId="0" applyNumberFormat="1" applyFont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 wrapText="1"/>
    </xf>
    <xf numFmtId="166" fontId="11" fillId="0" borderId="1" xfId="0" applyNumberFormat="1" applyFont="1" applyBorder="1" applyAlignment="1">
      <alignment horizontal="center" vertical="center" wrapText="1"/>
    </xf>
    <xf numFmtId="2" fontId="11" fillId="0" borderId="1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top" wrapText="1"/>
    </xf>
  </cellXfs>
  <cellStyles count="1">
    <cellStyle name="Normal" xfId="0" builtinId="0"/>
  </cellStyles>
  <dxfs count="12"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12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11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12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11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CC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D7C7C"/>
      <rgbColor rgb="FFBFC9D4"/>
      <rgbColor rgb="FF7A7A7A"/>
      <rgbColor rgb="FF9999FF"/>
      <rgbColor rgb="FF993366"/>
      <rgbColor rgb="FFFFF7DC"/>
      <rgbColor rgb="FFDDE6F0"/>
      <rgbColor rgb="FF660066"/>
      <rgbColor rgb="FFFF8080"/>
      <rgbColor rgb="FF1F4E79"/>
      <rgbColor rgb="FFCCCCFF"/>
      <rgbColor rgb="FF000080"/>
      <rgbColor rgb="FFFF00FF"/>
      <rgbColor rgb="FFFFFF00"/>
      <rgbColor rgb="FF00FFFF"/>
      <rgbColor rgb="FF800080"/>
      <rgbColor rgb="FF800000"/>
      <rgbColor rgb="FF107C41"/>
      <rgbColor rgb="FF0000FF"/>
      <rgbColor rgb="FF00CCFF"/>
      <rgbColor rgb="FFF3F6FA"/>
      <rgbColor rgb="FFE2EFDA"/>
      <rgbColor rgb="FFFFFF99"/>
      <rgbColor rgb="FF99CCFF"/>
      <rgbColor rgb="FFFF99CC"/>
      <rgbColor rgb="FFCC99FF"/>
      <rgbColor rgb="FFFCE4E4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16304F"/>
      <rgbColor rgb="FF339966"/>
      <rgbColor rgb="FF003300"/>
      <rgbColor rgb="FF333300"/>
      <rgbColor rgb="FF993300"/>
      <rgbColor rgb="FF993366"/>
      <rgbColor rgb="FF305496"/>
      <rgbColor rgb="FF1A1A1A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C14"/>
  <sheetViews>
    <sheetView showGridLines="0" tabSelected="1" zoomScaleNormal="100" workbookViewId="0"/>
  </sheetViews>
  <sheetFormatPr defaultColWidth="8.7109375" defaultRowHeight="15" x14ac:dyDescent="0.25"/>
  <cols>
    <col min="1" max="1" width="2" customWidth="1"/>
    <col min="2" max="2" width="30" customWidth="1"/>
    <col min="3" max="3" width="95" customWidth="1"/>
    <col min="4" max="4" width="2" customWidth="1"/>
  </cols>
  <sheetData>
    <row r="2" spans="2:3" ht="17.45" customHeight="1" x14ac:dyDescent="0.25">
      <c r="B2" s="11" t="s">
        <v>0</v>
      </c>
      <c r="C2" s="11"/>
    </row>
    <row r="3" spans="2:3" ht="22.35" customHeight="1" x14ac:dyDescent="0.25">
      <c r="B3" s="10" t="s">
        <v>1</v>
      </c>
      <c r="C3" s="10"/>
    </row>
    <row r="5" spans="2:3" ht="72" customHeight="1" x14ac:dyDescent="0.25">
      <c r="B5" s="12" t="s">
        <v>2</v>
      </c>
      <c r="C5" s="13" t="s">
        <v>3</v>
      </c>
    </row>
    <row r="6" spans="2:3" ht="87" customHeight="1" x14ac:dyDescent="0.25">
      <c r="B6" s="12" t="s">
        <v>4</v>
      </c>
      <c r="C6" s="14" t="s">
        <v>5</v>
      </c>
    </row>
    <row r="7" spans="2:3" ht="117" customHeight="1" x14ac:dyDescent="0.25">
      <c r="B7" s="12" t="s">
        <v>6</v>
      </c>
      <c r="C7" s="13" t="s">
        <v>7</v>
      </c>
    </row>
    <row r="8" spans="2:3" ht="72" customHeight="1" x14ac:dyDescent="0.25">
      <c r="B8" s="12" t="s">
        <v>8</v>
      </c>
      <c r="C8" s="14" t="s">
        <v>9</v>
      </c>
    </row>
    <row r="9" spans="2:3" ht="42" customHeight="1" x14ac:dyDescent="0.25">
      <c r="B9" s="12" t="s">
        <v>10</v>
      </c>
      <c r="C9" s="13" t="s">
        <v>11</v>
      </c>
    </row>
    <row r="10" spans="2:3" ht="42" customHeight="1" x14ac:dyDescent="0.25">
      <c r="B10" s="12" t="s">
        <v>12</v>
      </c>
      <c r="C10" s="14" t="s">
        <v>13</v>
      </c>
    </row>
    <row r="11" spans="2:3" ht="42" customHeight="1" x14ac:dyDescent="0.25">
      <c r="B11" s="12" t="s">
        <v>14</v>
      </c>
      <c r="C11" s="13" t="s">
        <v>15</v>
      </c>
    </row>
    <row r="12" spans="2:3" ht="42" customHeight="1" x14ac:dyDescent="0.25">
      <c r="B12" s="12" t="s">
        <v>16</v>
      </c>
      <c r="C12" s="14" t="s">
        <v>17</v>
      </c>
    </row>
    <row r="13" spans="2:3" ht="72" customHeight="1" x14ac:dyDescent="0.25">
      <c r="B13" s="12" t="s">
        <v>18</v>
      </c>
      <c r="C13" s="13" t="s">
        <v>19</v>
      </c>
    </row>
    <row r="14" spans="2:3" ht="57" customHeight="1" x14ac:dyDescent="0.25">
      <c r="B14" s="12" t="s">
        <v>20</v>
      </c>
      <c r="C14" s="14" t="s">
        <v>21</v>
      </c>
    </row>
  </sheetData>
  <sheetProtection password="CC6F" sheet="1" formatCells="0" sort="0" autoFilter="0"/>
  <mergeCells count="2">
    <mergeCell ref="B2:C2"/>
    <mergeCell ref="B3:C3"/>
  </mergeCells>
  <pageMargins left="0.3" right="0.3" top="0.45" bottom="0.45" header="0.511811023622047" footer="0.511811023622047"/>
  <pageSetup fitToHeight="0" orientation="landscape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49"/>
  <sheetViews>
    <sheetView showGridLines="0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ColWidth="8.7109375" defaultRowHeight="15" x14ac:dyDescent="0.25"/>
  <cols>
    <col min="1" max="1" width="11" customWidth="1"/>
    <col min="2" max="2" width="9" customWidth="1"/>
    <col min="3" max="16" width="7.42578125" customWidth="1"/>
  </cols>
  <sheetData>
    <row r="1" spans="1:16" ht="16.149999999999999" customHeight="1" x14ac:dyDescent="0.25">
      <c r="A1" s="9" t="s">
        <v>22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</row>
    <row r="2" spans="1:16" ht="15" customHeight="1" x14ac:dyDescent="0.25">
      <c r="A2" s="8" t="s">
        <v>23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</row>
    <row r="3" spans="1:16" ht="15" customHeight="1" x14ac:dyDescent="0.25">
      <c r="A3" s="7" t="s">
        <v>24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25">
      <c r="A4" s="15" t="s">
        <v>25</v>
      </c>
      <c r="B4" s="15" t="s">
        <v>26</v>
      </c>
      <c r="C4" s="15" t="s">
        <v>27</v>
      </c>
      <c r="D4" s="15" t="s">
        <v>28</v>
      </c>
      <c r="E4" s="15" t="s">
        <v>29</v>
      </c>
      <c r="F4" s="15" t="s">
        <v>30</v>
      </c>
      <c r="G4" s="15" t="s">
        <v>31</v>
      </c>
      <c r="H4" s="15" t="s">
        <v>32</v>
      </c>
      <c r="I4" s="15" t="s">
        <v>33</v>
      </c>
      <c r="J4" s="15" t="s">
        <v>34</v>
      </c>
      <c r="K4" s="15" t="s">
        <v>35</v>
      </c>
      <c r="L4" s="15" t="s">
        <v>36</v>
      </c>
      <c r="M4" s="15" t="s">
        <v>37</v>
      </c>
      <c r="N4" s="15" t="s">
        <v>38</v>
      </c>
      <c r="O4" s="15" t="s">
        <v>39</v>
      </c>
      <c r="P4" s="15" t="s">
        <v>40</v>
      </c>
    </row>
    <row r="5" spans="1:16" x14ac:dyDescent="0.25">
      <c r="A5" s="16">
        <v>0.5</v>
      </c>
      <c r="B5" s="17">
        <v>21.3</v>
      </c>
      <c r="C5" s="18">
        <v>1.65</v>
      </c>
      <c r="D5" s="18">
        <v>2.11</v>
      </c>
      <c r="E5" s="19"/>
      <c r="F5" s="19"/>
      <c r="G5" s="18">
        <v>2.77</v>
      </c>
      <c r="H5" s="19"/>
      <c r="I5" s="18">
        <v>3.73</v>
      </c>
      <c r="J5" s="19"/>
      <c r="K5" s="19"/>
      <c r="L5" s="19"/>
      <c r="M5" s="18">
        <v>4.78</v>
      </c>
      <c r="N5" s="18">
        <v>2.77</v>
      </c>
      <c r="O5" s="18">
        <v>3.73</v>
      </c>
      <c r="P5" s="18">
        <v>7.47</v>
      </c>
    </row>
    <row r="6" spans="1:16" x14ac:dyDescent="0.25">
      <c r="A6" s="20">
        <v>0.75</v>
      </c>
      <c r="B6" s="21">
        <v>26.7</v>
      </c>
      <c r="C6" s="22">
        <v>1.65</v>
      </c>
      <c r="D6" s="22">
        <v>2.11</v>
      </c>
      <c r="E6" s="23"/>
      <c r="F6" s="23"/>
      <c r="G6" s="22">
        <v>2.87</v>
      </c>
      <c r="H6" s="23"/>
      <c r="I6" s="22">
        <v>3.91</v>
      </c>
      <c r="J6" s="23"/>
      <c r="K6" s="23"/>
      <c r="L6" s="23"/>
      <c r="M6" s="22">
        <v>5.56</v>
      </c>
      <c r="N6" s="22">
        <v>2.87</v>
      </c>
      <c r="O6" s="22">
        <v>3.91</v>
      </c>
      <c r="P6" s="22">
        <v>7.82</v>
      </c>
    </row>
    <row r="7" spans="1:16" x14ac:dyDescent="0.25">
      <c r="A7" s="16">
        <v>1</v>
      </c>
      <c r="B7" s="17">
        <v>33.4</v>
      </c>
      <c r="C7" s="18">
        <v>1.65</v>
      </c>
      <c r="D7" s="18">
        <v>2.77</v>
      </c>
      <c r="E7" s="19"/>
      <c r="F7" s="19"/>
      <c r="G7" s="18">
        <v>3.38</v>
      </c>
      <c r="H7" s="19"/>
      <c r="I7" s="18">
        <v>4.55</v>
      </c>
      <c r="J7" s="19"/>
      <c r="K7" s="19"/>
      <c r="L7" s="19"/>
      <c r="M7" s="18">
        <v>6.35</v>
      </c>
      <c r="N7" s="18">
        <v>3.38</v>
      </c>
      <c r="O7" s="18">
        <v>4.55</v>
      </c>
      <c r="P7" s="18">
        <v>9.09</v>
      </c>
    </row>
    <row r="8" spans="1:16" x14ac:dyDescent="0.25">
      <c r="A8" s="20">
        <v>1.25</v>
      </c>
      <c r="B8" s="21">
        <v>42.2</v>
      </c>
      <c r="C8" s="22">
        <v>1.65</v>
      </c>
      <c r="D8" s="22">
        <v>2.77</v>
      </c>
      <c r="E8" s="23"/>
      <c r="F8" s="23"/>
      <c r="G8" s="22">
        <v>3.56</v>
      </c>
      <c r="H8" s="23"/>
      <c r="I8" s="22">
        <v>4.8499999999999996</v>
      </c>
      <c r="J8" s="23"/>
      <c r="K8" s="23"/>
      <c r="L8" s="23"/>
      <c r="M8" s="22">
        <v>6.35</v>
      </c>
      <c r="N8" s="22">
        <v>3.56</v>
      </c>
      <c r="O8" s="22">
        <v>4.8499999999999996</v>
      </c>
      <c r="P8" s="22">
        <v>9.6999999999999993</v>
      </c>
    </row>
    <row r="9" spans="1:16" x14ac:dyDescent="0.25">
      <c r="A9" s="16">
        <v>1.5</v>
      </c>
      <c r="B9" s="17">
        <v>48.3</v>
      </c>
      <c r="C9" s="18">
        <v>1.65</v>
      </c>
      <c r="D9" s="18">
        <v>2.77</v>
      </c>
      <c r="E9" s="19"/>
      <c r="F9" s="19"/>
      <c r="G9" s="18">
        <v>3.68</v>
      </c>
      <c r="H9" s="19"/>
      <c r="I9" s="18">
        <v>5.08</v>
      </c>
      <c r="J9" s="19"/>
      <c r="K9" s="19"/>
      <c r="L9" s="19"/>
      <c r="M9" s="18">
        <v>7.14</v>
      </c>
      <c r="N9" s="18">
        <v>3.68</v>
      </c>
      <c r="O9" s="18">
        <v>5.08</v>
      </c>
      <c r="P9" s="18">
        <v>10.15</v>
      </c>
    </row>
    <row r="10" spans="1:16" x14ac:dyDescent="0.25">
      <c r="A10" s="20">
        <v>2</v>
      </c>
      <c r="B10" s="21">
        <v>60.3</v>
      </c>
      <c r="C10" s="22">
        <v>1.65</v>
      </c>
      <c r="D10" s="22">
        <v>2.77</v>
      </c>
      <c r="E10" s="23"/>
      <c r="F10" s="23"/>
      <c r="G10" s="22">
        <v>3.91</v>
      </c>
      <c r="H10" s="23"/>
      <c r="I10" s="22">
        <v>5.54</v>
      </c>
      <c r="J10" s="23"/>
      <c r="K10" s="23"/>
      <c r="L10" s="23"/>
      <c r="M10" s="22">
        <v>8.74</v>
      </c>
      <c r="N10" s="22">
        <v>3.91</v>
      </c>
      <c r="O10" s="22">
        <v>5.54</v>
      </c>
      <c r="P10" s="22">
        <v>11.07</v>
      </c>
    </row>
    <row r="11" spans="1:16" x14ac:dyDescent="0.25">
      <c r="A11" s="16">
        <v>2.5</v>
      </c>
      <c r="B11" s="17">
        <v>73</v>
      </c>
      <c r="C11" s="18">
        <v>2.11</v>
      </c>
      <c r="D11" s="18">
        <v>3.05</v>
      </c>
      <c r="E11" s="19"/>
      <c r="F11" s="19"/>
      <c r="G11" s="18">
        <v>5.16</v>
      </c>
      <c r="H11" s="19"/>
      <c r="I11" s="18">
        <v>7.01</v>
      </c>
      <c r="J11" s="19"/>
      <c r="K11" s="19"/>
      <c r="L11" s="19"/>
      <c r="M11" s="18">
        <v>9.5299999999999994</v>
      </c>
      <c r="N11" s="18">
        <v>5.16</v>
      </c>
      <c r="O11" s="18">
        <v>7.01</v>
      </c>
      <c r="P11" s="18">
        <v>14.02</v>
      </c>
    </row>
    <row r="12" spans="1:16" x14ac:dyDescent="0.25">
      <c r="A12" s="20">
        <v>3</v>
      </c>
      <c r="B12" s="21">
        <v>88.9</v>
      </c>
      <c r="C12" s="22">
        <v>2.11</v>
      </c>
      <c r="D12" s="22">
        <v>3.05</v>
      </c>
      <c r="E12" s="23"/>
      <c r="F12" s="23"/>
      <c r="G12" s="22">
        <v>5.49</v>
      </c>
      <c r="H12" s="23"/>
      <c r="I12" s="22">
        <v>7.62</v>
      </c>
      <c r="J12" s="23"/>
      <c r="K12" s="23"/>
      <c r="L12" s="23"/>
      <c r="M12" s="22">
        <v>11.13</v>
      </c>
      <c r="N12" s="22">
        <v>5.49</v>
      </c>
      <c r="O12" s="22">
        <v>7.62</v>
      </c>
      <c r="P12" s="22">
        <v>15.24</v>
      </c>
    </row>
    <row r="13" spans="1:16" x14ac:dyDescent="0.25">
      <c r="A13" s="16">
        <v>3.5</v>
      </c>
      <c r="B13" s="17">
        <v>101.6</v>
      </c>
      <c r="C13" s="18">
        <v>2.11</v>
      </c>
      <c r="D13" s="18">
        <v>3.05</v>
      </c>
      <c r="E13" s="19"/>
      <c r="F13" s="19"/>
      <c r="G13" s="18">
        <v>5.74</v>
      </c>
      <c r="H13" s="19"/>
      <c r="I13" s="18">
        <v>8.08</v>
      </c>
      <c r="J13" s="19"/>
      <c r="K13" s="19"/>
      <c r="L13" s="19"/>
      <c r="M13" s="19"/>
      <c r="N13" s="18">
        <v>5.74</v>
      </c>
      <c r="O13" s="18">
        <v>8.08</v>
      </c>
      <c r="P13" s="19"/>
    </row>
    <row r="14" spans="1:16" x14ac:dyDescent="0.25">
      <c r="A14" s="20">
        <v>4</v>
      </c>
      <c r="B14" s="21">
        <v>114.3</v>
      </c>
      <c r="C14" s="22">
        <v>2.11</v>
      </c>
      <c r="D14" s="22">
        <v>3.05</v>
      </c>
      <c r="E14" s="23"/>
      <c r="F14" s="23"/>
      <c r="G14" s="22">
        <v>6.02</v>
      </c>
      <c r="H14" s="23"/>
      <c r="I14" s="22">
        <v>8.56</v>
      </c>
      <c r="J14" s="23"/>
      <c r="K14" s="22">
        <v>11.13</v>
      </c>
      <c r="L14" s="23"/>
      <c r="M14" s="22">
        <v>13.49</v>
      </c>
      <c r="N14" s="22">
        <v>6.02</v>
      </c>
      <c r="O14" s="22">
        <v>8.56</v>
      </c>
      <c r="P14" s="22">
        <v>17.12</v>
      </c>
    </row>
    <row r="15" spans="1:16" x14ac:dyDescent="0.25">
      <c r="A15" s="16">
        <v>5</v>
      </c>
      <c r="B15" s="17">
        <v>141.30000000000001</v>
      </c>
      <c r="C15" s="18">
        <v>2.77</v>
      </c>
      <c r="D15" s="18">
        <v>3.4</v>
      </c>
      <c r="E15" s="19"/>
      <c r="F15" s="19"/>
      <c r="G15" s="18">
        <v>6.55</v>
      </c>
      <c r="H15" s="19"/>
      <c r="I15" s="18">
        <v>9.5299999999999994</v>
      </c>
      <c r="J15" s="19"/>
      <c r="K15" s="18">
        <v>12.7</v>
      </c>
      <c r="L15" s="19"/>
      <c r="M15" s="18">
        <v>15.88</v>
      </c>
      <c r="N15" s="18">
        <v>6.55</v>
      </c>
      <c r="O15" s="18">
        <v>9.5299999999999994</v>
      </c>
      <c r="P15" s="18">
        <v>19.05</v>
      </c>
    </row>
    <row r="16" spans="1:16" x14ac:dyDescent="0.25">
      <c r="A16" s="20">
        <v>6</v>
      </c>
      <c r="B16" s="21">
        <v>168.3</v>
      </c>
      <c r="C16" s="22">
        <v>2.77</v>
      </c>
      <c r="D16" s="22">
        <v>3.4</v>
      </c>
      <c r="E16" s="23"/>
      <c r="F16" s="23"/>
      <c r="G16" s="22">
        <v>7.11</v>
      </c>
      <c r="H16" s="23"/>
      <c r="I16" s="22">
        <v>10.97</v>
      </c>
      <c r="J16" s="23"/>
      <c r="K16" s="22">
        <v>14.27</v>
      </c>
      <c r="L16" s="23"/>
      <c r="M16" s="22">
        <v>18.260000000000002</v>
      </c>
      <c r="N16" s="22">
        <v>7.11</v>
      </c>
      <c r="O16" s="22">
        <v>10.97</v>
      </c>
      <c r="P16" s="22">
        <v>21.95</v>
      </c>
    </row>
    <row r="17" spans="1:16" x14ac:dyDescent="0.25">
      <c r="A17" s="16">
        <v>8</v>
      </c>
      <c r="B17" s="17">
        <v>219.1</v>
      </c>
      <c r="C17" s="18">
        <v>2.77</v>
      </c>
      <c r="D17" s="18">
        <v>3.76</v>
      </c>
      <c r="E17" s="18">
        <v>6.35</v>
      </c>
      <c r="F17" s="18">
        <v>7.04</v>
      </c>
      <c r="G17" s="18">
        <v>8.18</v>
      </c>
      <c r="H17" s="18">
        <v>10.31</v>
      </c>
      <c r="I17" s="18">
        <v>12.7</v>
      </c>
      <c r="J17" s="18">
        <v>15.09</v>
      </c>
      <c r="K17" s="18">
        <v>18.260000000000002</v>
      </c>
      <c r="L17" s="18">
        <v>20.62</v>
      </c>
      <c r="M17" s="18">
        <v>23.01</v>
      </c>
      <c r="N17" s="18">
        <v>8.18</v>
      </c>
      <c r="O17" s="18">
        <v>12.7</v>
      </c>
      <c r="P17" s="18">
        <v>22.23</v>
      </c>
    </row>
    <row r="18" spans="1:16" x14ac:dyDescent="0.25">
      <c r="A18" s="20">
        <v>10</v>
      </c>
      <c r="B18" s="21">
        <v>273</v>
      </c>
      <c r="C18" s="22">
        <v>3.4</v>
      </c>
      <c r="D18" s="22">
        <v>4.1900000000000004</v>
      </c>
      <c r="E18" s="22">
        <v>6.35</v>
      </c>
      <c r="F18" s="22">
        <v>7.8</v>
      </c>
      <c r="G18" s="22">
        <v>9.27</v>
      </c>
      <c r="H18" s="22">
        <v>12.7</v>
      </c>
      <c r="I18" s="22">
        <v>15.09</v>
      </c>
      <c r="J18" s="22">
        <v>18.260000000000002</v>
      </c>
      <c r="K18" s="22">
        <v>21.44</v>
      </c>
      <c r="L18" s="22">
        <v>25.4</v>
      </c>
      <c r="M18" s="22">
        <v>28.58</v>
      </c>
      <c r="N18" s="22">
        <v>9.27</v>
      </c>
      <c r="O18" s="22">
        <v>12.7</v>
      </c>
      <c r="P18" s="22">
        <v>25.4</v>
      </c>
    </row>
    <row r="19" spans="1:16" x14ac:dyDescent="0.25">
      <c r="A19" s="16">
        <v>12</v>
      </c>
      <c r="B19" s="17">
        <v>323.8</v>
      </c>
      <c r="C19" s="18">
        <v>3.96</v>
      </c>
      <c r="D19" s="18">
        <v>4.57</v>
      </c>
      <c r="E19" s="18">
        <v>6.35</v>
      </c>
      <c r="F19" s="18">
        <v>8.3800000000000008</v>
      </c>
      <c r="G19" s="18">
        <v>10.31</v>
      </c>
      <c r="H19" s="18">
        <v>14.27</v>
      </c>
      <c r="I19" s="18">
        <v>17.48</v>
      </c>
      <c r="J19" s="18">
        <v>21.44</v>
      </c>
      <c r="K19" s="18">
        <v>25.4</v>
      </c>
      <c r="L19" s="18">
        <v>28.58</v>
      </c>
      <c r="M19" s="18">
        <v>33.32</v>
      </c>
      <c r="N19" s="18">
        <v>9.5299999999999994</v>
      </c>
      <c r="O19" s="18">
        <v>12.7</v>
      </c>
      <c r="P19" s="18">
        <v>25.4</v>
      </c>
    </row>
    <row r="20" spans="1:16" x14ac:dyDescent="0.25">
      <c r="A20" s="20">
        <v>14</v>
      </c>
      <c r="B20" s="21">
        <v>355.6</v>
      </c>
      <c r="C20" s="22">
        <v>3.96</v>
      </c>
      <c r="D20" s="22">
        <v>6.35</v>
      </c>
      <c r="E20" s="22">
        <v>7.92</v>
      </c>
      <c r="F20" s="22">
        <v>9.5299999999999994</v>
      </c>
      <c r="G20" s="22">
        <v>11.13</v>
      </c>
      <c r="H20" s="22">
        <v>15.09</v>
      </c>
      <c r="I20" s="22">
        <v>19.05</v>
      </c>
      <c r="J20" s="22">
        <v>23.83</v>
      </c>
      <c r="K20" s="22">
        <v>27.79</v>
      </c>
      <c r="L20" s="22">
        <v>31.75</v>
      </c>
      <c r="M20" s="22">
        <v>35.71</v>
      </c>
      <c r="N20" s="22">
        <v>9.5299999999999994</v>
      </c>
      <c r="O20" s="22">
        <v>12.7</v>
      </c>
      <c r="P20" s="23"/>
    </row>
    <row r="21" spans="1:16" x14ac:dyDescent="0.25">
      <c r="A21" s="16">
        <v>16</v>
      </c>
      <c r="B21" s="17">
        <v>406.4</v>
      </c>
      <c r="C21" s="18">
        <v>4.1900000000000004</v>
      </c>
      <c r="D21" s="18">
        <v>6.35</v>
      </c>
      <c r="E21" s="18">
        <v>7.92</v>
      </c>
      <c r="F21" s="18">
        <v>9.5299999999999994</v>
      </c>
      <c r="G21" s="18">
        <v>12.7</v>
      </c>
      <c r="H21" s="18">
        <v>16.66</v>
      </c>
      <c r="I21" s="18">
        <v>21.44</v>
      </c>
      <c r="J21" s="18">
        <v>26.19</v>
      </c>
      <c r="K21" s="18">
        <v>30.96</v>
      </c>
      <c r="L21" s="18">
        <v>36.53</v>
      </c>
      <c r="M21" s="18">
        <v>40.49</v>
      </c>
      <c r="N21" s="18">
        <v>9.5299999999999994</v>
      </c>
      <c r="O21" s="18">
        <v>12.7</v>
      </c>
      <c r="P21" s="19"/>
    </row>
    <row r="22" spans="1:16" x14ac:dyDescent="0.25">
      <c r="A22" s="20">
        <v>18</v>
      </c>
      <c r="B22" s="21">
        <v>457.2</v>
      </c>
      <c r="C22" s="22">
        <v>4.1900000000000004</v>
      </c>
      <c r="D22" s="22">
        <v>6.35</v>
      </c>
      <c r="E22" s="22">
        <v>7.92</v>
      </c>
      <c r="F22" s="22">
        <v>11.13</v>
      </c>
      <c r="G22" s="22">
        <v>14.27</v>
      </c>
      <c r="H22" s="22">
        <v>19.05</v>
      </c>
      <c r="I22" s="22">
        <v>23.83</v>
      </c>
      <c r="J22" s="22">
        <v>29.36</v>
      </c>
      <c r="K22" s="22">
        <v>34.92</v>
      </c>
      <c r="L22" s="22">
        <v>39.67</v>
      </c>
      <c r="M22" s="22">
        <v>45.24</v>
      </c>
      <c r="N22" s="22">
        <v>9.5299999999999994</v>
      </c>
      <c r="O22" s="22">
        <v>12.7</v>
      </c>
      <c r="P22" s="23"/>
    </row>
    <row r="23" spans="1:16" x14ac:dyDescent="0.25">
      <c r="A23" s="16">
        <v>20</v>
      </c>
      <c r="B23" s="17">
        <v>508</v>
      </c>
      <c r="C23" s="18">
        <v>4.78</v>
      </c>
      <c r="D23" s="18">
        <v>6.35</v>
      </c>
      <c r="E23" s="18">
        <v>9.5299999999999994</v>
      </c>
      <c r="F23" s="18">
        <v>12.7</v>
      </c>
      <c r="G23" s="18">
        <v>15.09</v>
      </c>
      <c r="H23" s="18">
        <v>20.62</v>
      </c>
      <c r="I23" s="18">
        <v>26.19</v>
      </c>
      <c r="J23" s="18">
        <v>32.54</v>
      </c>
      <c r="K23" s="18">
        <v>38.1</v>
      </c>
      <c r="L23" s="18">
        <v>44.45</v>
      </c>
      <c r="M23" s="18">
        <v>50.01</v>
      </c>
      <c r="N23" s="18">
        <v>9.5299999999999994</v>
      </c>
      <c r="O23" s="18">
        <v>12.7</v>
      </c>
      <c r="P23" s="19"/>
    </row>
    <row r="24" spans="1:16" x14ac:dyDescent="0.25">
      <c r="A24" s="20">
        <v>22</v>
      </c>
      <c r="B24" s="21">
        <v>558.79999999999995</v>
      </c>
      <c r="C24" s="22">
        <v>4.78</v>
      </c>
      <c r="D24" s="22">
        <v>6.35</v>
      </c>
      <c r="E24" s="22">
        <v>9.5299999999999994</v>
      </c>
      <c r="F24" s="22">
        <v>12.7</v>
      </c>
      <c r="G24" s="23"/>
      <c r="H24" s="22">
        <v>22.23</v>
      </c>
      <c r="I24" s="22">
        <v>28.58</v>
      </c>
      <c r="J24" s="22">
        <v>34.92</v>
      </c>
      <c r="K24" s="22">
        <v>41.28</v>
      </c>
      <c r="L24" s="22">
        <v>47.62</v>
      </c>
      <c r="M24" s="22">
        <v>53.98</v>
      </c>
      <c r="N24" s="22">
        <v>9.5299999999999994</v>
      </c>
      <c r="O24" s="22">
        <v>12.7</v>
      </c>
      <c r="P24" s="23"/>
    </row>
    <row r="25" spans="1:16" x14ac:dyDescent="0.25">
      <c r="A25" s="16">
        <v>24</v>
      </c>
      <c r="B25" s="17">
        <v>609.6</v>
      </c>
      <c r="C25" s="18">
        <v>5.54</v>
      </c>
      <c r="D25" s="18">
        <v>6.35</v>
      </c>
      <c r="E25" s="18">
        <v>9.5299999999999994</v>
      </c>
      <c r="F25" s="18">
        <v>14.27</v>
      </c>
      <c r="G25" s="18">
        <v>17.48</v>
      </c>
      <c r="H25" s="18">
        <v>24.61</v>
      </c>
      <c r="I25" s="18">
        <v>30.96</v>
      </c>
      <c r="J25" s="18">
        <v>38.89</v>
      </c>
      <c r="K25" s="18">
        <v>46.02</v>
      </c>
      <c r="L25" s="18">
        <v>52.37</v>
      </c>
      <c r="M25" s="18">
        <v>59.54</v>
      </c>
      <c r="N25" s="18">
        <v>9.5299999999999994</v>
      </c>
      <c r="O25" s="18">
        <v>12.7</v>
      </c>
      <c r="P25" s="19"/>
    </row>
    <row r="26" spans="1:16" x14ac:dyDescent="0.25">
      <c r="A26" s="20">
        <v>26</v>
      </c>
      <c r="B26" s="21">
        <v>660.4</v>
      </c>
      <c r="C26" s="23"/>
      <c r="D26" s="22">
        <v>7.92</v>
      </c>
      <c r="E26" s="22">
        <v>12.7</v>
      </c>
      <c r="F26" s="23"/>
      <c r="G26" s="23"/>
      <c r="H26" s="23"/>
      <c r="I26" s="23"/>
      <c r="J26" s="23"/>
      <c r="K26" s="23"/>
      <c r="L26" s="23"/>
      <c r="M26" s="23"/>
      <c r="N26" s="22">
        <v>9.5299999999999994</v>
      </c>
      <c r="O26" s="22">
        <v>12.7</v>
      </c>
      <c r="P26" s="23"/>
    </row>
    <row r="27" spans="1:16" x14ac:dyDescent="0.25">
      <c r="A27" s="16">
        <v>28</v>
      </c>
      <c r="B27" s="17">
        <v>711.2</v>
      </c>
      <c r="C27" s="19"/>
      <c r="D27" s="18">
        <v>7.92</v>
      </c>
      <c r="E27" s="18">
        <v>12.7</v>
      </c>
      <c r="F27" s="18">
        <v>15.88</v>
      </c>
      <c r="G27" s="19"/>
      <c r="H27" s="19"/>
      <c r="I27" s="19"/>
      <c r="J27" s="19"/>
      <c r="K27" s="19"/>
      <c r="L27" s="19"/>
      <c r="M27" s="19"/>
      <c r="N27" s="18">
        <v>9.5299999999999994</v>
      </c>
      <c r="O27" s="18">
        <v>12.7</v>
      </c>
      <c r="P27" s="19"/>
    </row>
    <row r="28" spans="1:16" x14ac:dyDescent="0.25">
      <c r="A28" s="20">
        <v>30</v>
      </c>
      <c r="B28" s="21">
        <v>762</v>
      </c>
      <c r="C28" s="22">
        <v>6.35</v>
      </c>
      <c r="D28" s="22">
        <v>7.92</v>
      </c>
      <c r="E28" s="22">
        <v>12.7</v>
      </c>
      <c r="F28" s="22">
        <v>15.88</v>
      </c>
      <c r="G28" s="23"/>
      <c r="H28" s="23"/>
      <c r="I28" s="23"/>
      <c r="J28" s="23"/>
      <c r="K28" s="23"/>
      <c r="L28" s="23"/>
      <c r="M28" s="23"/>
      <c r="N28" s="22">
        <v>9.5299999999999994</v>
      </c>
      <c r="O28" s="22">
        <v>12.7</v>
      </c>
      <c r="P28" s="23"/>
    </row>
    <row r="29" spans="1:16" x14ac:dyDescent="0.25">
      <c r="A29" s="16">
        <v>32</v>
      </c>
      <c r="B29" s="17">
        <v>812.8</v>
      </c>
      <c r="C29" s="19"/>
      <c r="D29" s="18">
        <v>7.92</v>
      </c>
      <c r="E29" s="18">
        <v>12.7</v>
      </c>
      <c r="F29" s="18">
        <v>15.88</v>
      </c>
      <c r="G29" s="18">
        <v>17.48</v>
      </c>
      <c r="H29" s="19"/>
      <c r="I29" s="19"/>
      <c r="J29" s="19"/>
      <c r="K29" s="19"/>
      <c r="L29" s="19"/>
      <c r="M29" s="19"/>
      <c r="N29" s="18">
        <v>9.5299999999999994</v>
      </c>
      <c r="O29" s="18">
        <v>12.7</v>
      </c>
      <c r="P29" s="19"/>
    </row>
    <row r="30" spans="1:16" x14ac:dyDescent="0.25">
      <c r="A30" s="20">
        <v>34</v>
      </c>
      <c r="B30" s="21">
        <v>863.6</v>
      </c>
      <c r="C30" s="23"/>
      <c r="D30" s="22">
        <v>7.92</v>
      </c>
      <c r="E30" s="22">
        <v>12.7</v>
      </c>
      <c r="F30" s="22">
        <v>15.88</v>
      </c>
      <c r="G30" s="22">
        <v>17.48</v>
      </c>
      <c r="H30" s="23"/>
      <c r="I30" s="23"/>
      <c r="J30" s="23"/>
      <c r="K30" s="23"/>
      <c r="L30" s="23"/>
      <c r="M30" s="23"/>
      <c r="N30" s="22">
        <v>9.5299999999999994</v>
      </c>
      <c r="O30" s="22">
        <v>12.7</v>
      </c>
      <c r="P30" s="23"/>
    </row>
    <row r="31" spans="1:16" x14ac:dyDescent="0.25">
      <c r="A31" s="16">
        <v>36</v>
      </c>
      <c r="B31" s="17">
        <v>914.4</v>
      </c>
      <c r="C31" s="19"/>
      <c r="D31" s="18">
        <v>7.92</v>
      </c>
      <c r="E31" s="18">
        <v>12.7</v>
      </c>
      <c r="F31" s="18">
        <v>15.88</v>
      </c>
      <c r="G31" s="18">
        <v>19.05</v>
      </c>
      <c r="H31" s="19"/>
      <c r="I31" s="19"/>
      <c r="J31" s="19"/>
      <c r="K31" s="19"/>
      <c r="L31" s="19"/>
      <c r="M31" s="19"/>
      <c r="N31" s="18">
        <v>9.5299999999999994</v>
      </c>
      <c r="O31" s="18">
        <v>12.7</v>
      </c>
      <c r="P31" s="19"/>
    </row>
    <row r="32" spans="1:16" x14ac:dyDescent="0.25">
      <c r="A32" s="20">
        <v>38</v>
      </c>
      <c r="B32" s="21">
        <v>965.2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2">
        <v>9.5299999999999994</v>
      </c>
      <c r="O32" s="22">
        <v>12.7</v>
      </c>
      <c r="P32" s="23"/>
    </row>
    <row r="33" spans="1:16" x14ac:dyDescent="0.25">
      <c r="A33" s="16">
        <v>40</v>
      </c>
      <c r="B33" s="17">
        <v>1016</v>
      </c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8">
        <v>9.5299999999999994</v>
      </c>
      <c r="O33" s="18">
        <v>12.7</v>
      </c>
      <c r="P33" s="19"/>
    </row>
    <row r="34" spans="1:16" x14ac:dyDescent="0.25">
      <c r="A34" s="20">
        <v>42</v>
      </c>
      <c r="B34" s="21">
        <v>1066.8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2">
        <v>9.5299999999999994</v>
      </c>
      <c r="O34" s="22">
        <v>12.7</v>
      </c>
      <c r="P34" s="23"/>
    </row>
    <row r="35" spans="1:16" x14ac:dyDescent="0.25">
      <c r="A35" s="16">
        <v>44</v>
      </c>
      <c r="B35" s="17">
        <v>1117.5999999999999</v>
      </c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8">
        <v>9.5299999999999994</v>
      </c>
      <c r="O35" s="18">
        <v>12.7</v>
      </c>
      <c r="P35" s="19"/>
    </row>
    <row r="36" spans="1:16" x14ac:dyDescent="0.25">
      <c r="A36" s="20">
        <v>46</v>
      </c>
      <c r="B36" s="21">
        <v>1168.4000000000001</v>
      </c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2">
        <v>9.5299999999999994</v>
      </c>
      <c r="O36" s="22">
        <v>12.7</v>
      </c>
      <c r="P36" s="23"/>
    </row>
    <row r="37" spans="1:16" x14ac:dyDescent="0.25">
      <c r="A37" s="16">
        <v>48</v>
      </c>
      <c r="B37" s="17">
        <v>1219.2</v>
      </c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8">
        <v>9.5299999999999994</v>
      </c>
      <c r="O37" s="18">
        <v>12.7</v>
      </c>
      <c r="P37" s="19"/>
    </row>
    <row r="40" spans="1:16" ht="15" customHeight="1" x14ac:dyDescent="0.25">
      <c r="A40" s="7" t="s">
        <v>41</v>
      </c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</row>
    <row r="41" spans="1:16" ht="24" x14ac:dyDescent="0.25">
      <c r="A41" s="24" t="s">
        <v>42</v>
      </c>
      <c r="B41" s="24" t="s">
        <v>43</v>
      </c>
      <c r="C41" s="24" t="s">
        <v>44</v>
      </c>
    </row>
    <row r="42" spans="1:16" x14ac:dyDescent="0.25">
      <c r="A42" s="25" t="s">
        <v>45</v>
      </c>
      <c r="B42" s="26">
        <v>137.9</v>
      </c>
      <c r="C42" s="26">
        <v>118</v>
      </c>
    </row>
    <row r="43" spans="1:16" x14ac:dyDescent="0.25">
      <c r="A43" s="27" t="s">
        <v>46</v>
      </c>
      <c r="B43" s="28">
        <v>160.69999999999999</v>
      </c>
      <c r="C43" s="28">
        <v>137.9</v>
      </c>
    </row>
    <row r="44" spans="1:16" x14ac:dyDescent="0.25">
      <c r="A44" s="25" t="s">
        <v>47</v>
      </c>
      <c r="B44" s="26">
        <v>160.69999999999999</v>
      </c>
      <c r="C44" s="26">
        <v>137.9</v>
      </c>
    </row>
    <row r="45" spans="1:16" x14ac:dyDescent="0.25">
      <c r="A45" s="27" t="s">
        <v>48</v>
      </c>
      <c r="B45" s="28">
        <v>126.2</v>
      </c>
      <c r="C45" s="28">
        <v>108.3</v>
      </c>
    </row>
    <row r="46" spans="1:16" x14ac:dyDescent="0.25">
      <c r="A46" s="25" t="s">
        <v>49</v>
      </c>
      <c r="B46" s="26">
        <v>137.9</v>
      </c>
      <c r="C46" s="26">
        <v>118</v>
      </c>
    </row>
    <row r="47" spans="1:16" x14ac:dyDescent="0.25">
      <c r="A47" s="27" t="s">
        <v>50</v>
      </c>
      <c r="B47" s="28">
        <v>137.9</v>
      </c>
      <c r="C47" s="28">
        <v>118</v>
      </c>
    </row>
    <row r="49" spans="1:16" ht="27.75" customHeight="1" x14ac:dyDescent="0.25">
      <c r="A49" s="6" t="s">
        <v>51</v>
      </c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</row>
  </sheetData>
  <sheetProtection password="CC6F" sheet="1" formatCells="0" sort="0" autoFilter="0"/>
  <mergeCells count="5">
    <mergeCell ref="A1:P1"/>
    <mergeCell ref="A2:P2"/>
    <mergeCell ref="A3:P3"/>
    <mergeCell ref="A40:P40"/>
    <mergeCell ref="A49:P49"/>
  </mergeCells>
  <pageMargins left="0.3" right="0.3" top="0.45" bottom="0.45" header="0.511811023622047" footer="0.511811023622047"/>
  <pageSetup fitToHeight="0" orientation="landscape" horizontalDpi="300" verticalDpi="3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G101"/>
  <sheetViews>
    <sheetView showGridLines="0" zoomScaleNormal="100" workbookViewId="0">
      <pane ySplit="3" topLeftCell="A4" activePane="bottomLeft" state="frozen"/>
      <selection pane="bottomLeft"/>
    </sheetView>
  </sheetViews>
  <sheetFormatPr defaultColWidth="8.7109375" defaultRowHeight="15" x14ac:dyDescent="0.25"/>
  <cols>
    <col min="1" max="1" width="40" customWidth="1"/>
    <col min="2" max="3" width="9" customWidth="1"/>
    <col min="4" max="6" width="15" customWidth="1"/>
    <col min="7" max="7" width="36" customWidth="1"/>
  </cols>
  <sheetData>
    <row r="1" spans="1:7" ht="24" customHeight="1" x14ac:dyDescent="0.25">
      <c r="A1" s="9" t="s">
        <v>52</v>
      </c>
      <c r="B1" s="9"/>
      <c r="C1" s="9"/>
      <c r="D1" s="9"/>
      <c r="E1" s="9"/>
      <c r="F1" s="9"/>
      <c r="G1" s="9"/>
    </row>
    <row r="2" spans="1:7" ht="15.75" customHeight="1" x14ac:dyDescent="0.25">
      <c r="A2" s="10" t="s">
        <v>53</v>
      </c>
      <c r="B2" s="10"/>
      <c r="C2" s="10"/>
      <c r="D2" s="10"/>
      <c r="E2" s="10"/>
      <c r="F2" s="10"/>
      <c r="G2" s="10"/>
    </row>
    <row r="4" spans="1:7" ht="18" customHeight="1" x14ac:dyDescent="0.25">
      <c r="A4" s="5" t="s">
        <v>54</v>
      </c>
      <c r="B4" s="5"/>
      <c r="C4" s="5"/>
      <c r="D4" s="5"/>
      <c r="E4" s="5"/>
      <c r="F4" s="5"/>
      <c r="G4" s="5"/>
    </row>
    <row r="5" spans="1:7" ht="15" customHeight="1" x14ac:dyDescent="0.25">
      <c r="A5" s="29" t="s">
        <v>55</v>
      </c>
      <c r="B5" s="30"/>
      <c r="C5" s="30"/>
      <c r="D5" s="4" t="s">
        <v>56</v>
      </c>
      <c r="E5" s="4"/>
      <c r="F5" s="4"/>
      <c r="G5" s="25" t="s">
        <v>57</v>
      </c>
    </row>
    <row r="6" spans="1:7" ht="15" customHeight="1" x14ac:dyDescent="0.25">
      <c r="A6" s="29" t="s">
        <v>58</v>
      </c>
      <c r="B6" s="30"/>
      <c r="C6" s="30"/>
      <c r="D6" s="4" t="s">
        <v>59</v>
      </c>
      <c r="E6" s="4"/>
      <c r="F6" s="4"/>
      <c r="G6" s="25" t="s">
        <v>60</v>
      </c>
    </row>
    <row r="8" spans="1:7" ht="18" customHeight="1" x14ac:dyDescent="0.25">
      <c r="A8" s="5" t="s">
        <v>61</v>
      </c>
      <c r="B8" s="5"/>
      <c r="C8" s="5"/>
      <c r="D8" s="5"/>
      <c r="E8" s="5"/>
      <c r="F8" s="5"/>
      <c r="G8" s="5"/>
    </row>
    <row r="9" spans="1:7" x14ac:dyDescent="0.25">
      <c r="A9" s="31" t="s">
        <v>62</v>
      </c>
      <c r="B9" s="31" t="s">
        <v>63</v>
      </c>
      <c r="C9" s="31" t="s">
        <v>64</v>
      </c>
      <c r="D9" s="31" t="s">
        <v>65</v>
      </c>
      <c r="E9" s="31"/>
      <c r="F9" s="31"/>
      <c r="G9" s="31" t="s">
        <v>66</v>
      </c>
    </row>
    <row r="10" spans="1:7" x14ac:dyDescent="0.25">
      <c r="A10" s="25" t="s">
        <v>67</v>
      </c>
      <c r="B10" s="32" t="s">
        <v>68</v>
      </c>
      <c r="C10" s="33" t="s">
        <v>68</v>
      </c>
      <c r="D10" s="34" t="s">
        <v>69</v>
      </c>
      <c r="G10" s="35" t="s">
        <v>70</v>
      </c>
    </row>
    <row r="11" spans="1:7" x14ac:dyDescent="0.25">
      <c r="A11" s="25" t="s">
        <v>71</v>
      </c>
      <c r="B11" s="32" t="s">
        <v>72</v>
      </c>
      <c r="C11" s="33" t="s">
        <v>68</v>
      </c>
      <c r="D11" s="36">
        <f>IF($D$10="Tubería (B31.3)",1,IF($D$10="Cabezal/esfera (VIII-1)",3,2))</f>
        <v>1</v>
      </c>
      <c r="G11" s="35" t="s">
        <v>73</v>
      </c>
    </row>
    <row r="12" spans="1:7" x14ac:dyDescent="0.25">
      <c r="A12" s="25" t="s">
        <v>74</v>
      </c>
      <c r="B12" s="32" t="s">
        <v>68</v>
      </c>
      <c r="C12" s="33" t="s">
        <v>68</v>
      </c>
      <c r="D12" s="37" t="str">
        <f>IF($D$11=1,"ASME B31.3","ASME BPVC VIII-1")</f>
        <v>ASME B31.3</v>
      </c>
      <c r="G12" s="35" t="s">
        <v>75</v>
      </c>
    </row>
    <row r="13" spans="1:7" x14ac:dyDescent="0.25">
      <c r="A13" s="25" t="s">
        <v>76</v>
      </c>
      <c r="B13" s="32" t="s">
        <v>68</v>
      </c>
      <c r="C13" s="33" t="s">
        <v>68</v>
      </c>
      <c r="D13" s="37" t="str">
        <f>IF($D$11=1,"B31.3 Tabla A-1","ASME II-D Tabla 1A")</f>
        <v>B31.3 Tabla A-1</v>
      </c>
      <c r="G13" s="35" t="s">
        <v>75</v>
      </c>
    </row>
    <row r="14" spans="1:7" x14ac:dyDescent="0.25">
      <c r="A14" s="25" t="s">
        <v>77</v>
      </c>
      <c r="B14" s="32" t="s">
        <v>78</v>
      </c>
      <c r="C14" s="33" t="s">
        <v>68</v>
      </c>
      <c r="D14" s="38">
        <f>IF($D$11=3,0.25,0.5)</f>
        <v>0.5</v>
      </c>
      <c r="G14" s="35" t="s">
        <v>79</v>
      </c>
    </row>
    <row r="16" spans="1:7" ht="18" customHeight="1" x14ac:dyDescent="0.25">
      <c r="A16" s="5" t="s">
        <v>80</v>
      </c>
      <c r="B16" s="5"/>
      <c r="C16" s="5"/>
      <c r="D16" s="5"/>
      <c r="E16" s="5"/>
      <c r="F16" s="5"/>
      <c r="G16" s="5"/>
    </row>
    <row r="17" spans="1:7" x14ac:dyDescent="0.25">
      <c r="A17" s="31" t="s">
        <v>62</v>
      </c>
      <c r="B17" s="31" t="s">
        <v>63</v>
      </c>
      <c r="C17" s="31" t="s">
        <v>64</v>
      </c>
      <c r="D17" s="31" t="s">
        <v>65</v>
      </c>
      <c r="E17" s="31"/>
      <c r="F17" s="31"/>
      <c r="G17" s="31" t="s">
        <v>66</v>
      </c>
    </row>
    <row r="18" spans="1:7" x14ac:dyDescent="0.25">
      <c r="A18" s="25" t="s">
        <v>81</v>
      </c>
      <c r="B18" s="32" t="s">
        <v>82</v>
      </c>
      <c r="C18" s="33" t="s">
        <v>83</v>
      </c>
      <c r="D18" s="39">
        <v>12</v>
      </c>
      <c r="G18" s="35" t="s">
        <v>84</v>
      </c>
    </row>
    <row r="19" spans="1:7" x14ac:dyDescent="0.25">
      <c r="A19" s="25" t="s">
        <v>85</v>
      </c>
      <c r="B19" s="32" t="s">
        <v>86</v>
      </c>
      <c r="C19" s="33" t="s">
        <v>68</v>
      </c>
      <c r="D19" s="34" t="s">
        <v>29</v>
      </c>
      <c r="G19" s="35" t="s">
        <v>84</v>
      </c>
    </row>
    <row r="20" spans="1:7" x14ac:dyDescent="0.25">
      <c r="A20" s="25" t="s">
        <v>87</v>
      </c>
      <c r="B20" s="32" t="s">
        <v>88</v>
      </c>
      <c r="C20" s="33" t="s">
        <v>89</v>
      </c>
      <c r="D20" s="38">
        <f>INDEX(Datos_Ref!$B$5:$B$37,MATCH($D$18,Datos_Ref!$A$5:$A$37,0))</f>
        <v>323.8</v>
      </c>
      <c r="G20" s="35" t="s">
        <v>90</v>
      </c>
    </row>
    <row r="21" spans="1:7" x14ac:dyDescent="0.25">
      <c r="A21" s="25" t="s">
        <v>91</v>
      </c>
      <c r="B21" s="32" t="s">
        <v>92</v>
      </c>
      <c r="C21" s="33" t="s">
        <v>89</v>
      </c>
      <c r="D21" s="38">
        <f>INDEX(Datos_Ref!$C$5:$P$37,MATCH($D$18,Datos_Ref!$A$5:$A$37,0),MATCH($D$19,Datos_Ref!$C$4:$P$4,0))</f>
        <v>6.35</v>
      </c>
      <c r="G21" s="35" t="s">
        <v>90</v>
      </c>
    </row>
    <row r="22" spans="1:7" x14ac:dyDescent="0.25">
      <c r="A22" s="25" t="s">
        <v>93</v>
      </c>
      <c r="B22" s="32" t="s">
        <v>68</v>
      </c>
      <c r="C22" s="33" t="s">
        <v>68</v>
      </c>
      <c r="D22" s="34" t="s">
        <v>45</v>
      </c>
      <c r="G22" s="35" t="s">
        <v>94</v>
      </c>
    </row>
    <row r="23" spans="1:7" x14ac:dyDescent="0.25">
      <c r="A23" s="25" t="s">
        <v>95</v>
      </c>
      <c r="B23" s="32" t="s">
        <v>68</v>
      </c>
      <c r="C23" s="33" t="s">
        <v>68</v>
      </c>
      <c r="D23" s="34" t="s">
        <v>46</v>
      </c>
      <c r="G23" s="35" t="s">
        <v>94</v>
      </c>
    </row>
    <row r="24" spans="1:7" ht="25.5" x14ac:dyDescent="0.25">
      <c r="A24" s="25" t="s">
        <v>96</v>
      </c>
      <c r="B24" s="32" t="s">
        <v>68</v>
      </c>
      <c r="C24" s="33" t="s">
        <v>68</v>
      </c>
      <c r="D24" s="34" t="s">
        <v>97</v>
      </c>
      <c r="G24" s="35"/>
    </row>
    <row r="25" spans="1:7" x14ac:dyDescent="0.25">
      <c r="A25" s="25" t="s">
        <v>98</v>
      </c>
      <c r="B25" s="32" t="s">
        <v>99</v>
      </c>
      <c r="C25" s="33" t="s">
        <v>100</v>
      </c>
      <c r="D25" s="39">
        <v>25</v>
      </c>
      <c r="G25" s="35" t="s">
        <v>101</v>
      </c>
    </row>
    <row r="26" spans="1:7" x14ac:dyDescent="0.25">
      <c r="A26" s="25" t="s">
        <v>102</v>
      </c>
      <c r="B26" s="32" t="s">
        <v>103</v>
      </c>
      <c r="C26" s="33" t="s">
        <v>104</v>
      </c>
      <c r="D26" s="40">
        <v>5</v>
      </c>
      <c r="G26" s="35" t="s">
        <v>101</v>
      </c>
    </row>
    <row r="27" spans="1:7" x14ac:dyDescent="0.25">
      <c r="A27" s="25" t="s">
        <v>105</v>
      </c>
      <c r="B27" s="32" t="s">
        <v>106</v>
      </c>
      <c r="C27" s="33" t="s">
        <v>104</v>
      </c>
      <c r="D27" s="40">
        <v>10</v>
      </c>
      <c r="G27" s="35" t="s">
        <v>107</v>
      </c>
    </row>
    <row r="28" spans="1:7" x14ac:dyDescent="0.25">
      <c r="A28" s="25" t="s">
        <v>108</v>
      </c>
      <c r="B28" s="32" t="s">
        <v>109</v>
      </c>
      <c r="C28" s="33" t="s">
        <v>104</v>
      </c>
      <c r="D28" s="40">
        <v>20</v>
      </c>
      <c r="G28" s="35" t="s">
        <v>110</v>
      </c>
    </row>
    <row r="29" spans="1:7" x14ac:dyDescent="0.25">
      <c r="A29" s="25" t="s">
        <v>111</v>
      </c>
      <c r="B29" s="32" t="s">
        <v>112</v>
      </c>
      <c r="C29" s="33" t="s">
        <v>89</v>
      </c>
      <c r="D29" s="40">
        <v>8</v>
      </c>
      <c r="G29" s="35" t="s">
        <v>113</v>
      </c>
    </row>
    <row r="30" spans="1:7" x14ac:dyDescent="0.25">
      <c r="A30" s="25" t="s">
        <v>114</v>
      </c>
      <c r="B30" s="32" t="s">
        <v>115</v>
      </c>
      <c r="C30" s="33" t="s">
        <v>89</v>
      </c>
      <c r="D30" s="39">
        <v>166</v>
      </c>
      <c r="G30" s="35" t="s">
        <v>116</v>
      </c>
    </row>
    <row r="31" spans="1:7" x14ac:dyDescent="0.25">
      <c r="A31" s="25" t="s">
        <v>117</v>
      </c>
      <c r="B31" s="32" t="s">
        <v>118</v>
      </c>
      <c r="C31" s="33" t="s">
        <v>89</v>
      </c>
      <c r="D31" s="40">
        <v>1.5</v>
      </c>
      <c r="G31" s="35" t="s">
        <v>119</v>
      </c>
    </row>
    <row r="32" spans="1:7" x14ac:dyDescent="0.25">
      <c r="A32" s="25" t="s">
        <v>120</v>
      </c>
      <c r="B32" s="32" t="s">
        <v>121</v>
      </c>
      <c r="C32" s="33" t="s">
        <v>89</v>
      </c>
      <c r="D32" s="40">
        <v>6</v>
      </c>
      <c r="G32" s="35" t="s">
        <v>122</v>
      </c>
    </row>
    <row r="33" spans="1:7" x14ac:dyDescent="0.25">
      <c r="A33" s="25" t="s">
        <v>123</v>
      </c>
      <c r="B33" s="32" t="s">
        <v>68</v>
      </c>
      <c r="C33" s="33" t="s">
        <v>89</v>
      </c>
      <c r="D33" s="39">
        <v>25</v>
      </c>
      <c r="G33" s="35" t="s">
        <v>124</v>
      </c>
    </row>
    <row r="34" spans="1:7" x14ac:dyDescent="0.25">
      <c r="A34" s="25" t="s">
        <v>125</v>
      </c>
      <c r="B34" s="32" t="s">
        <v>126</v>
      </c>
      <c r="C34" s="33" t="s">
        <v>89</v>
      </c>
      <c r="D34" s="40">
        <v>3</v>
      </c>
      <c r="G34" s="35" t="s">
        <v>127</v>
      </c>
    </row>
    <row r="35" spans="1:7" x14ac:dyDescent="0.25">
      <c r="A35" s="25" t="s">
        <v>128</v>
      </c>
      <c r="B35" s="32" t="s">
        <v>129</v>
      </c>
      <c r="C35" s="33" t="s">
        <v>89</v>
      </c>
      <c r="D35" s="39">
        <v>40</v>
      </c>
      <c r="G35" s="35" t="s">
        <v>130</v>
      </c>
    </row>
    <row r="37" spans="1:7" ht="18" customHeight="1" x14ac:dyDescent="0.25">
      <c r="A37" s="5" t="s">
        <v>131</v>
      </c>
      <c r="B37" s="5"/>
      <c r="C37" s="5"/>
      <c r="D37" s="5"/>
      <c r="E37" s="5"/>
      <c r="F37" s="5"/>
      <c r="G37" s="5"/>
    </row>
    <row r="38" spans="1:7" x14ac:dyDescent="0.25">
      <c r="A38" s="31" t="s">
        <v>62</v>
      </c>
      <c r="B38" s="31" t="s">
        <v>63</v>
      </c>
      <c r="C38" s="31" t="s">
        <v>64</v>
      </c>
      <c r="D38" s="31" t="s">
        <v>65</v>
      </c>
      <c r="E38" s="31"/>
      <c r="F38" s="31"/>
      <c r="G38" s="31" t="s">
        <v>66</v>
      </c>
    </row>
    <row r="39" spans="1:7" x14ac:dyDescent="0.25">
      <c r="A39" s="25" t="s">
        <v>132</v>
      </c>
      <c r="B39" s="32" t="s">
        <v>133</v>
      </c>
      <c r="C39" s="33" t="s">
        <v>134</v>
      </c>
      <c r="D39" s="41">
        <f>IF($D$11=1,INDEX(Datos_Ref!$B$42:$B$47,MATCH($D$23,Datos_Ref!$A$42:$A$47,0)),INDEX(Datos_Ref!$C$42:$C$47,MATCH($D$23,Datos_Ref!$A$42:$A$47,0)))</f>
        <v>160.69999999999999</v>
      </c>
      <c r="G39" s="35" t="s">
        <v>135</v>
      </c>
    </row>
    <row r="40" spans="1:7" x14ac:dyDescent="0.25">
      <c r="A40" s="25" t="s">
        <v>136</v>
      </c>
      <c r="B40" s="32" t="s">
        <v>137</v>
      </c>
      <c r="C40" s="33" t="s">
        <v>134</v>
      </c>
      <c r="D40" s="41">
        <f>IF($D$11=1,INDEX(Datos_Ref!$B$42:$B$47,MATCH($D$22,Datos_Ref!$A$42:$A$47,0)),INDEX(Datos_Ref!$C$42:$C$47,MATCH($D$22,Datos_Ref!$A$42:$A$47,0)))</f>
        <v>137.9</v>
      </c>
      <c r="G40" s="35" t="s">
        <v>135</v>
      </c>
    </row>
    <row r="41" spans="1:7" x14ac:dyDescent="0.25">
      <c r="A41" s="25" t="s">
        <v>138</v>
      </c>
      <c r="B41" s="32" t="s">
        <v>139</v>
      </c>
      <c r="C41" s="33" t="s">
        <v>134</v>
      </c>
      <c r="D41" s="41">
        <f>MIN($D$39,$D$40)</f>
        <v>137.9</v>
      </c>
      <c r="G41" s="35" t="s">
        <v>140</v>
      </c>
    </row>
    <row r="42" spans="1:7" x14ac:dyDescent="0.25">
      <c r="A42" s="25" t="s">
        <v>141</v>
      </c>
      <c r="B42" s="32" t="s">
        <v>142</v>
      </c>
      <c r="C42" s="33" t="s">
        <v>68</v>
      </c>
      <c r="D42" s="42">
        <v>0.55000000000000004</v>
      </c>
      <c r="G42" s="35" t="s">
        <v>143</v>
      </c>
    </row>
    <row r="43" spans="1:7" x14ac:dyDescent="0.25">
      <c r="A43" s="25" t="s">
        <v>144</v>
      </c>
      <c r="B43" s="32" t="s">
        <v>145</v>
      </c>
      <c r="C43" s="33" t="s">
        <v>68</v>
      </c>
      <c r="D43" s="40">
        <v>0.4</v>
      </c>
      <c r="G43" s="35" t="s">
        <v>146</v>
      </c>
    </row>
    <row r="44" spans="1:7" x14ac:dyDescent="0.25">
      <c r="A44" s="25" t="s">
        <v>147</v>
      </c>
      <c r="B44" s="32" t="s">
        <v>148</v>
      </c>
      <c r="C44" s="33" t="s">
        <v>68</v>
      </c>
      <c r="D44" s="40">
        <v>1</v>
      </c>
      <c r="G44" s="35" t="s">
        <v>149</v>
      </c>
    </row>
    <row r="45" spans="1:7" x14ac:dyDescent="0.25">
      <c r="A45" s="25" t="s">
        <v>150</v>
      </c>
      <c r="B45" s="32" t="s">
        <v>151</v>
      </c>
      <c r="C45" s="33" t="s">
        <v>152</v>
      </c>
      <c r="D45" s="39">
        <v>7850</v>
      </c>
      <c r="G45" s="35"/>
    </row>
    <row r="46" spans="1:7" x14ac:dyDescent="0.25">
      <c r="A46" s="25" t="s">
        <v>153</v>
      </c>
      <c r="B46" s="32" t="s">
        <v>68</v>
      </c>
      <c r="C46" s="33" t="s">
        <v>68</v>
      </c>
      <c r="D46" s="40">
        <v>1.5</v>
      </c>
      <c r="G46" s="35" t="s">
        <v>154</v>
      </c>
    </row>
    <row r="47" spans="1:7" ht="24" x14ac:dyDescent="0.25">
      <c r="A47" s="25" t="s">
        <v>155</v>
      </c>
      <c r="B47" s="32" t="s">
        <v>156</v>
      </c>
      <c r="C47" s="33" t="s">
        <v>68</v>
      </c>
      <c r="D47" s="43">
        <v>9.8066500000000001E-2</v>
      </c>
      <c r="G47" s="35" t="s">
        <v>157</v>
      </c>
    </row>
    <row r="48" spans="1:7" x14ac:dyDescent="0.25">
      <c r="A48" s="25" t="s">
        <v>158</v>
      </c>
      <c r="B48" s="32" t="s">
        <v>159</v>
      </c>
      <c r="C48" s="33" t="s">
        <v>134</v>
      </c>
      <c r="D48" s="41">
        <f>1.5*$D$41</f>
        <v>206.85000000000002</v>
      </c>
      <c r="G48" s="35" t="s">
        <v>160</v>
      </c>
    </row>
    <row r="50" spans="1:7" ht="18" customHeight="1" x14ac:dyDescent="0.25">
      <c r="A50" s="5" t="s">
        <v>161</v>
      </c>
      <c r="B50" s="5"/>
      <c r="C50" s="5"/>
      <c r="D50" s="5"/>
      <c r="E50" s="5"/>
      <c r="F50" s="5"/>
      <c r="G50" s="5"/>
    </row>
    <row r="51" spans="1:7" x14ac:dyDescent="0.25">
      <c r="A51" s="31" t="s">
        <v>62</v>
      </c>
      <c r="B51" s="31" t="s">
        <v>63</v>
      </c>
      <c r="C51" s="31" t="s">
        <v>64</v>
      </c>
      <c r="D51" s="31" t="s">
        <v>65</v>
      </c>
      <c r="E51" s="31"/>
      <c r="F51" s="31"/>
      <c r="G51" s="31" t="s">
        <v>162</v>
      </c>
    </row>
    <row r="52" spans="1:7" x14ac:dyDescent="0.25">
      <c r="A52" s="25" t="s">
        <v>163</v>
      </c>
      <c r="B52" s="32" t="s">
        <v>164</v>
      </c>
      <c r="C52" s="33" t="s">
        <v>89</v>
      </c>
      <c r="D52" s="38">
        <f>$D$20-$D$21</f>
        <v>317.45</v>
      </c>
      <c r="G52" s="35" t="s">
        <v>165</v>
      </c>
    </row>
    <row r="53" spans="1:7" x14ac:dyDescent="0.25">
      <c r="A53" s="25" t="s">
        <v>166</v>
      </c>
      <c r="B53" s="32" t="s">
        <v>167</v>
      </c>
      <c r="C53" s="33" t="s">
        <v>89</v>
      </c>
      <c r="D53" s="38">
        <f>$D$52/2</f>
        <v>158.72499999999999</v>
      </c>
      <c r="G53" s="35" t="s">
        <v>168</v>
      </c>
    </row>
    <row r="54" spans="1:7" x14ac:dyDescent="0.25">
      <c r="A54" s="25" t="s">
        <v>169</v>
      </c>
      <c r="B54" s="32" t="s">
        <v>170</v>
      </c>
      <c r="C54" s="33" t="s">
        <v>89</v>
      </c>
      <c r="D54" s="38">
        <f>$D$20/2-$D$21</f>
        <v>155.55000000000001</v>
      </c>
      <c r="G54" s="35" t="s">
        <v>171</v>
      </c>
    </row>
    <row r="55" spans="1:7" x14ac:dyDescent="0.25">
      <c r="A55" s="25" t="s">
        <v>172</v>
      </c>
      <c r="B55" s="32" t="s">
        <v>173</v>
      </c>
      <c r="C55" s="33" t="s">
        <v>89</v>
      </c>
      <c r="D55" s="44">
        <f>($D$29+$D$21)/2</f>
        <v>7.1749999999999998</v>
      </c>
      <c r="G55" s="35" t="s">
        <v>174</v>
      </c>
    </row>
    <row r="56" spans="1:7" x14ac:dyDescent="0.25">
      <c r="A56" s="25" t="s">
        <v>175</v>
      </c>
      <c r="B56" s="32" t="s">
        <v>176</v>
      </c>
      <c r="C56" s="33" t="s">
        <v>89</v>
      </c>
      <c r="D56" s="41">
        <f>$D$20/2+$D$31+$D$29/2</f>
        <v>167.4</v>
      </c>
      <c r="G56" s="35" t="s">
        <v>177</v>
      </c>
    </row>
    <row r="57" spans="1:7" x14ac:dyDescent="0.25">
      <c r="A57" s="25" t="s">
        <v>178</v>
      </c>
      <c r="B57" s="32" t="s">
        <v>179</v>
      </c>
      <c r="C57" s="33" t="s">
        <v>180</v>
      </c>
      <c r="D57" s="41">
        <f>$D$14*$D$52/$D$29*(1+6*$D$55/$D$29)</f>
        <v>126.60798828124999</v>
      </c>
      <c r="G57" s="35" t="s">
        <v>181</v>
      </c>
    </row>
    <row r="59" spans="1:7" ht="18" customHeight="1" x14ac:dyDescent="0.25">
      <c r="A59" s="5" t="s">
        <v>182</v>
      </c>
      <c r="B59" s="5"/>
      <c r="C59" s="5"/>
      <c r="D59" s="5"/>
      <c r="E59" s="5"/>
      <c r="F59" s="5"/>
      <c r="G59" s="5"/>
    </row>
    <row r="60" spans="1:7" x14ac:dyDescent="0.25">
      <c r="A60" s="31" t="s">
        <v>62</v>
      </c>
      <c r="B60" s="31" t="s">
        <v>63</v>
      </c>
      <c r="C60" s="31" t="s">
        <v>64</v>
      </c>
      <c r="D60" s="31" t="s">
        <v>183</v>
      </c>
      <c r="E60" s="31" t="s">
        <v>184</v>
      </c>
      <c r="F60" s="31" t="s">
        <v>185</v>
      </c>
      <c r="G60" s="31" t="s">
        <v>186</v>
      </c>
    </row>
    <row r="61" spans="1:7" x14ac:dyDescent="0.25">
      <c r="A61" s="25" t="s">
        <v>187</v>
      </c>
      <c r="B61" s="32" t="s">
        <v>188</v>
      </c>
      <c r="C61" s="33" t="s">
        <v>104</v>
      </c>
      <c r="D61" s="26">
        <f>$D$26</f>
        <v>5</v>
      </c>
      <c r="E61" s="26">
        <f>$D$27</f>
        <v>10</v>
      </c>
      <c r="F61" s="26">
        <f>$D$28</f>
        <v>20</v>
      </c>
      <c r="G61" s="35" t="s">
        <v>189</v>
      </c>
    </row>
    <row r="62" spans="1:7" x14ac:dyDescent="0.25">
      <c r="A62" s="25" t="s">
        <v>187</v>
      </c>
      <c r="B62" s="32" t="s">
        <v>188</v>
      </c>
      <c r="C62" s="33" t="s">
        <v>134</v>
      </c>
      <c r="D62" s="45">
        <f>D61*$D$47</f>
        <v>0.4903325</v>
      </c>
      <c r="E62" s="45">
        <f>E61*$D$47</f>
        <v>0.98066500000000001</v>
      </c>
      <c r="F62" s="45">
        <f>F61*$D$47</f>
        <v>1.96133</v>
      </c>
      <c r="G62" s="35" t="s">
        <v>190</v>
      </c>
    </row>
    <row r="63" spans="1:7" x14ac:dyDescent="0.25">
      <c r="A63" s="25" t="s">
        <v>191</v>
      </c>
      <c r="B63" s="32" t="s">
        <v>192</v>
      </c>
      <c r="C63" s="33" t="s">
        <v>193</v>
      </c>
      <c r="D63" s="26">
        <f>$D$14*D62*$D$52</f>
        <v>77.828026062500001</v>
      </c>
      <c r="E63" s="26">
        <f>$D$14*E62*$D$52</f>
        <v>155.656052125</v>
      </c>
      <c r="F63" s="26">
        <f>$D$14*F62*$D$52</f>
        <v>311.31210425</v>
      </c>
      <c r="G63" s="35" t="s">
        <v>194</v>
      </c>
    </row>
    <row r="64" spans="1:7" x14ac:dyDescent="0.25">
      <c r="A64" s="25" t="s">
        <v>195</v>
      </c>
      <c r="B64" s="32" t="s">
        <v>196</v>
      </c>
      <c r="C64" s="33" t="s">
        <v>89</v>
      </c>
      <c r="D64" s="46">
        <f>D63/($D$42*$D$41)</f>
        <v>1.0261457718043376</v>
      </c>
      <c r="E64" s="46">
        <f>E63/($D$42*$D$41)</f>
        <v>2.0522915436086753</v>
      </c>
      <c r="F64" s="46">
        <f>F63/($D$42*$D$41)</f>
        <v>4.1045830872173505</v>
      </c>
      <c r="G64" s="35" t="s">
        <v>197</v>
      </c>
    </row>
    <row r="65" spans="1:7" x14ac:dyDescent="0.25">
      <c r="A65" s="25" t="s">
        <v>198</v>
      </c>
      <c r="B65" s="32" t="s">
        <v>199</v>
      </c>
      <c r="C65" s="33" t="s">
        <v>89</v>
      </c>
      <c r="D65" s="46">
        <f>IF($D$11=1,D62*$D$20/(2*($D$40*$D$44+D62*$D$43)),IF($D$11=3,D62*$D$54/(2*$D$40*$D$44-0.2*D62),D62*$D$54/($D$40*$D$44-0.6*D62)))</f>
        <v>0.57485195295077518</v>
      </c>
      <c r="E65" s="46">
        <f>IF($D$11=1,E62*$D$20/(2*($D$40*$D$44+E62*$D$43)),IF($D$11=3,E62*$D$54/(2*$D$40*$D$44-0.2*E62),E62*$D$54/($D$40*$D$44-0.6*E62)))</f>
        <v>1.1480733383890029</v>
      </c>
      <c r="F65" s="46">
        <f>IF($D$11=1,F62*$D$20/(2*($D$40*$D$44+F62*$D$43)),IF($D$11=3,F62*$D$54/(2*$D$40*$D$44-0.2*F62),F62*$D$54/($D$40*$D$44-0.6*F62)))</f>
        <v>2.289652078863416</v>
      </c>
      <c r="G65" s="35" t="s">
        <v>200</v>
      </c>
    </row>
    <row r="66" spans="1:7" x14ac:dyDescent="0.25">
      <c r="A66" s="25" t="s">
        <v>201</v>
      </c>
      <c r="B66" s="32" t="s">
        <v>202</v>
      </c>
      <c r="C66" s="33" t="s">
        <v>134</v>
      </c>
      <c r="D66" s="26">
        <f>D63/$D$29</f>
        <v>9.7285032578125001</v>
      </c>
      <c r="E66" s="26">
        <f>E63/$D$29</f>
        <v>19.457006515625</v>
      </c>
      <c r="F66" s="26">
        <f>F63/$D$29</f>
        <v>38.914013031250001</v>
      </c>
      <c r="G66" s="35" t="s">
        <v>203</v>
      </c>
    </row>
    <row r="67" spans="1:7" x14ac:dyDescent="0.25">
      <c r="A67" s="25" t="s">
        <v>204</v>
      </c>
      <c r="B67" s="32" t="s">
        <v>205</v>
      </c>
      <c r="C67" s="33" t="s">
        <v>134</v>
      </c>
      <c r="D67" s="26">
        <f>6*D63*$D$55/$D$29^2</f>
        <v>52.35150815610352</v>
      </c>
      <c r="E67" s="26">
        <f>6*E63*$D$55/$D$29^2</f>
        <v>104.70301631220704</v>
      </c>
      <c r="F67" s="26">
        <f>6*F63*$D$55/$D$29^2</f>
        <v>209.40603262441408</v>
      </c>
      <c r="G67" s="35" t="s">
        <v>206</v>
      </c>
    </row>
    <row r="68" spans="1:7" x14ac:dyDescent="0.25">
      <c r="A68" s="25" t="s">
        <v>207</v>
      </c>
      <c r="B68" s="32" t="s">
        <v>208</v>
      </c>
      <c r="C68" s="33" t="s">
        <v>134</v>
      </c>
      <c r="D68" s="26">
        <f>D66+D67</f>
        <v>62.080011413916019</v>
      </c>
      <c r="E68" s="26">
        <f>E66+E67</f>
        <v>124.16002282783204</v>
      </c>
      <c r="F68" s="26">
        <f>F66+F67</f>
        <v>248.32004565566407</v>
      </c>
      <c r="G68" s="35" t="s">
        <v>209</v>
      </c>
    </row>
    <row r="69" spans="1:7" x14ac:dyDescent="0.25">
      <c r="A69" s="25" t="s">
        <v>210</v>
      </c>
      <c r="B69" s="32"/>
      <c r="C69" s="33" t="s">
        <v>68</v>
      </c>
      <c r="D69" s="47" t="str">
        <f>IF(D68&lt;=$D$48,"CUMPLE","NO CUMPLE")</f>
        <v>CUMPLE</v>
      </c>
      <c r="E69" s="47" t="str">
        <f>IF(E68&lt;=$D$48,"CUMPLE","NO CUMPLE")</f>
        <v>CUMPLE</v>
      </c>
      <c r="F69" s="47" t="str">
        <f>IF(F68&lt;=$D$48,"CUMPLE","NO CUMPLE")</f>
        <v>NO CUMPLE</v>
      </c>
      <c r="G69" s="35" t="s">
        <v>211</v>
      </c>
    </row>
    <row r="71" spans="1:7" ht="18" customHeight="1" x14ac:dyDescent="0.25">
      <c r="A71" s="5" t="s">
        <v>212</v>
      </c>
      <c r="B71" s="5"/>
      <c r="C71" s="5"/>
      <c r="D71" s="5"/>
      <c r="E71" s="5"/>
      <c r="F71" s="5"/>
      <c r="G71" s="5"/>
    </row>
    <row r="72" spans="1:7" x14ac:dyDescent="0.25">
      <c r="A72" s="31" t="s">
        <v>62</v>
      </c>
      <c r="B72" s="31" t="s">
        <v>63</v>
      </c>
      <c r="C72" s="31" t="s">
        <v>64</v>
      </c>
      <c r="D72" s="31" t="s">
        <v>65</v>
      </c>
      <c r="E72" s="31"/>
      <c r="F72" s="31"/>
      <c r="G72" s="31" t="s">
        <v>162</v>
      </c>
    </row>
    <row r="73" spans="1:7" x14ac:dyDescent="0.25">
      <c r="A73" s="25" t="s">
        <v>213</v>
      </c>
      <c r="B73" s="32" t="s">
        <v>214</v>
      </c>
      <c r="C73" s="33" t="s">
        <v>89</v>
      </c>
      <c r="D73" s="41">
        <f>2*SQRT($D$53*$D$21)</f>
        <v>63.4949998031341</v>
      </c>
      <c r="G73" s="35" t="s">
        <v>215</v>
      </c>
    </row>
    <row r="74" spans="1:7" x14ac:dyDescent="0.25">
      <c r="A74" s="25" t="s">
        <v>216</v>
      </c>
      <c r="B74" s="32" t="s">
        <v>217</v>
      </c>
      <c r="C74" s="33" t="s">
        <v>134</v>
      </c>
      <c r="D74" s="44">
        <f>$D$48/$D$57</f>
        <v>1.633783166513147</v>
      </c>
      <c r="G74" s="35" t="s">
        <v>218</v>
      </c>
    </row>
    <row r="75" spans="1:7" x14ac:dyDescent="0.25">
      <c r="A75" s="25" t="s">
        <v>216</v>
      </c>
      <c r="B75" s="32" t="s">
        <v>217</v>
      </c>
      <c r="C75" s="33" t="s">
        <v>104</v>
      </c>
      <c r="D75" s="41">
        <f>$D$74/$D$47</f>
        <v>16.659951833838743</v>
      </c>
      <c r="G75" s="35"/>
    </row>
    <row r="76" spans="1:7" x14ac:dyDescent="0.25">
      <c r="A76" s="25" t="s">
        <v>219</v>
      </c>
      <c r="B76" s="32"/>
      <c r="C76" s="33" t="s">
        <v>220</v>
      </c>
      <c r="D76" s="41">
        <f>$D$75/$D$26</f>
        <v>3.3319903667677488</v>
      </c>
      <c r="G76" s="35" t="s">
        <v>221</v>
      </c>
    </row>
    <row r="77" spans="1:7" x14ac:dyDescent="0.25">
      <c r="A77" s="25" t="s">
        <v>222</v>
      </c>
      <c r="B77" s="32"/>
      <c r="C77" s="33" t="s">
        <v>223</v>
      </c>
      <c r="D77" s="38">
        <f>50*$D$29/$D$56</f>
        <v>2.3894862604540021</v>
      </c>
      <c r="G77" s="35" t="s">
        <v>224</v>
      </c>
    </row>
    <row r="78" spans="1:7" x14ac:dyDescent="0.25">
      <c r="A78" s="25" t="s">
        <v>225</v>
      </c>
      <c r="B78" s="32" t="s">
        <v>226</v>
      </c>
      <c r="C78" s="33" t="s">
        <v>89</v>
      </c>
      <c r="D78" s="41">
        <f>PI()/2*($D$20+2*$D$31+$D$29)</f>
        <v>525.90261021093136</v>
      </c>
      <c r="G78" s="35" t="s">
        <v>227</v>
      </c>
    </row>
    <row r="79" spans="1:7" x14ac:dyDescent="0.25">
      <c r="A79" s="25" t="s">
        <v>228</v>
      </c>
      <c r="B79" s="32"/>
      <c r="C79" s="33" t="s">
        <v>89</v>
      </c>
      <c r="D79" s="41">
        <f>$D$78-3</f>
        <v>522.90261021093136</v>
      </c>
      <c r="G79" s="35" t="s">
        <v>229</v>
      </c>
    </row>
    <row r="80" spans="1:7" x14ac:dyDescent="0.25">
      <c r="A80" s="25" t="s">
        <v>230</v>
      </c>
      <c r="B80" s="32"/>
      <c r="C80" s="33" t="s">
        <v>231</v>
      </c>
      <c r="D80" s="41">
        <f>2*$D$79*$D$30*$D$29*$D$45/1000000000</f>
        <v>10.902310261853835</v>
      </c>
      <c r="G80" s="35" t="s">
        <v>232</v>
      </c>
    </row>
    <row r="82" spans="1:7" ht="18" customHeight="1" x14ac:dyDescent="0.25">
      <c r="A82" s="5" t="s">
        <v>233</v>
      </c>
      <c r="B82" s="5"/>
      <c r="C82" s="5"/>
      <c r="D82" s="5"/>
      <c r="E82" s="5"/>
      <c r="F82" s="5"/>
      <c r="G82" s="5"/>
    </row>
    <row r="83" spans="1:7" x14ac:dyDescent="0.25">
      <c r="A83" s="31" t="s">
        <v>234</v>
      </c>
      <c r="B83" s="31"/>
      <c r="C83" s="31"/>
      <c r="D83" s="31" t="s">
        <v>235</v>
      </c>
      <c r="E83" s="31" t="s">
        <v>122</v>
      </c>
      <c r="F83" s="31" t="s">
        <v>236</v>
      </c>
      <c r="G83" s="31" t="s">
        <v>237</v>
      </c>
    </row>
    <row r="84" spans="1:7" ht="15" customHeight="1" x14ac:dyDescent="0.25">
      <c r="A84" s="3" t="s">
        <v>238</v>
      </c>
      <c r="B84" s="3"/>
      <c r="C84" s="3"/>
      <c r="D84" s="46">
        <f>MAX(D64:F64)</f>
        <v>4.1045830872173505</v>
      </c>
      <c r="E84" s="46">
        <f>$D$32</f>
        <v>6</v>
      </c>
      <c r="F84" s="48" t="str">
        <f>IF(E84&gt;=D84,"CUMPLE","NO CUMPLE")</f>
        <v>CUMPLE</v>
      </c>
      <c r="G84" s="35" t="s">
        <v>239</v>
      </c>
    </row>
    <row r="85" spans="1:7" ht="15" customHeight="1" x14ac:dyDescent="0.25">
      <c r="A85" s="3" t="s">
        <v>240</v>
      </c>
      <c r="B85" s="3"/>
      <c r="C85" s="3"/>
      <c r="D85" s="46">
        <f>$D$48</f>
        <v>206.85000000000002</v>
      </c>
      <c r="E85" s="46">
        <f>E68</f>
        <v>124.16002282783204</v>
      </c>
      <c r="F85" s="48" t="str">
        <f>IF(E85&lt;=D85,"CUMPLE","NO CUMPLE")</f>
        <v>CUMPLE</v>
      </c>
      <c r="G85" s="35" t="s">
        <v>241</v>
      </c>
    </row>
    <row r="86" spans="1:7" ht="15" customHeight="1" x14ac:dyDescent="0.25">
      <c r="A86" s="3" t="s">
        <v>242</v>
      </c>
      <c r="B86" s="3"/>
      <c r="C86" s="3"/>
      <c r="D86" s="46">
        <v>5</v>
      </c>
      <c r="E86" s="46">
        <f>$D$77</f>
        <v>2.3894862604540021</v>
      </c>
      <c r="F86" s="48" t="str">
        <f>IF(E86&lt;=D86,"CUMPLE","NO CUMPLE")</f>
        <v>CUMPLE</v>
      </c>
      <c r="G86" s="35" t="s">
        <v>243</v>
      </c>
    </row>
    <row r="87" spans="1:7" ht="15" customHeight="1" x14ac:dyDescent="0.25">
      <c r="A87" s="3" t="s">
        <v>244</v>
      </c>
      <c r="B87" s="3"/>
      <c r="C87" s="3"/>
      <c r="D87" s="46">
        <f>F65</f>
        <v>2.289652078863416</v>
      </c>
      <c r="E87" s="46">
        <f>$D$21</f>
        <v>6.35</v>
      </c>
      <c r="F87" s="48" t="str">
        <f>IF(E87&gt;=D87,"CUMPLE","NO CUMPLE")</f>
        <v>CUMPLE</v>
      </c>
      <c r="G87" s="35" t="s">
        <v>245</v>
      </c>
    </row>
    <row r="88" spans="1:7" ht="15" customHeight="1" x14ac:dyDescent="0.25">
      <c r="A88" s="3" t="s">
        <v>246</v>
      </c>
      <c r="B88" s="3"/>
      <c r="C88" s="3"/>
      <c r="D88" s="46">
        <f>$D$73</f>
        <v>63.4949998031341</v>
      </c>
      <c r="E88" s="46">
        <f>$D$35</f>
        <v>40</v>
      </c>
      <c r="F88" s="48" t="str">
        <f>IF(E88&lt;D88,"Refuerzo 360°","Parche local")</f>
        <v>Refuerzo 360°</v>
      </c>
      <c r="G88" s="35" t="s">
        <v>247</v>
      </c>
    </row>
    <row r="89" spans="1:7" ht="15" customHeight="1" x14ac:dyDescent="0.25">
      <c r="A89" s="3" t="s">
        <v>248</v>
      </c>
      <c r="B89" s="3"/>
      <c r="C89" s="3"/>
      <c r="D89" s="46">
        <f>$D$75</f>
        <v>16.659951833838743</v>
      </c>
      <c r="E89" s="46">
        <f>$D$27</f>
        <v>10</v>
      </c>
      <c r="F89" s="48" t="str">
        <f>IF(E89&lt;=D89,"OK — parche","Migrar (Art.206)")</f>
        <v>OK — parche</v>
      </c>
      <c r="G89" s="35" t="s">
        <v>249</v>
      </c>
    </row>
    <row r="90" spans="1:7" ht="21.75" customHeight="1" x14ac:dyDescent="0.25">
      <c r="A90" s="2" t="s">
        <v>250</v>
      </c>
      <c r="B90" s="2"/>
      <c r="C90" s="2"/>
      <c r="D90" s="2"/>
      <c r="E90" s="2"/>
      <c r="F90" s="49" t="str">
        <f>IF(AND(F84="CUMPLE",F85="CUMPLE",F86="CUMPLE",F87="CUMPLE"),"APTO","REVISAR")</f>
        <v>APTO</v>
      </c>
      <c r="G90" s="30"/>
    </row>
    <row r="92" spans="1:7" ht="18" customHeight="1" x14ac:dyDescent="0.25">
      <c r="A92" s="5" t="s">
        <v>251</v>
      </c>
      <c r="B92" s="5"/>
      <c r="C92" s="5"/>
      <c r="D92" s="5"/>
      <c r="E92" s="5"/>
      <c r="F92" s="5"/>
      <c r="G92" s="5"/>
    </row>
    <row r="93" spans="1:7" ht="42" customHeight="1" x14ac:dyDescent="0.25">
      <c r="A93" s="50" t="s">
        <v>252</v>
      </c>
      <c r="B93" s="1" t="str">
        <f>"Reparación por parche/collar de refuerzo soldado (ASME PCC-2-2022, Art. 212/206). Aplicación: "&amp;$D$10&amp;". Código: "&amp;$D$12&amp;". Plancha "&amp;$D$23&amp;" de "&amp;TEXT($D$29,"0")&amp;" mm; peso aprox. "&amp;TEXT($D$80,"0.0")&amp;" kg."</f>
        <v>Reparación por parche/collar de refuerzo soldado (ASME PCC-2-2022, Art. 212/206). Aplicación: Tubería (B31.3). Código: ASME B31.3. Plancha A516 Gr.70 de 8 mm; peso aprox. 10.9 kg.</v>
      </c>
      <c r="C93" s="1"/>
      <c r="D93" s="1"/>
      <c r="E93" s="1"/>
      <c r="F93" s="1"/>
      <c r="G93" s="1"/>
    </row>
    <row r="94" spans="1:7" ht="42" customHeight="1" x14ac:dyDescent="0.25">
      <c r="A94" s="50" t="s">
        <v>253</v>
      </c>
      <c r="B94" s="1" t="str">
        <f>"Juntas a tope en V, penetración completa (C.J.P), raíz abierta sin respaldo. Raíz GTAW ER70S-6; relleno/peine SMAW E7018 bajo hidrógeno. Ángulo incluido 60°–75°, talón 1,5 mm, luz de raíz 2–3 mm."</f>
        <v>Juntas a tope en V, penetración completa (C.J.P), raíz abierta sin respaldo. Raíz GTAW ER70S-6; relleno/peine SMAW E7018 bajo hidrógeno. Ángulo incluido 60°–75°, talón 1,5 mm, luz de raíz 2–3 mm.</v>
      </c>
      <c r="C94" s="1"/>
      <c r="D94" s="1"/>
      <c r="E94" s="1"/>
      <c r="F94" s="1"/>
      <c r="G94" s="1"/>
    </row>
    <row r="95" spans="1:7" ht="42" customHeight="1" x14ac:dyDescent="0.25">
      <c r="A95" s="50" t="s">
        <v>254</v>
      </c>
      <c r="B95" s="1" t="str">
        <f>"Filetes de cateto "&amp;TEXT($D$32,"0")&amp;" mm sobre metal sano; solape ≥ "&amp;TEXT($D$33,"0")&amp;" mm por extremo, verificado por UT. Sin soldaduras de tapón en collar de encierro total."</f>
        <v>Filetes de cateto 6 mm sobre metal sano; solape ≥ 25 mm por extremo, verificado por UT. Sin soldaduras de tapón en collar de encierro total.</v>
      </c>
      <c r="C95" s="1"/>
      <c r="D95" s="1"/>
      <c r="E95" s="1"/>
      <c r="F95" s="1"/>
      <c r="G95" s="1"/>
    </row>
    <row r="96" spans="1:7" ht="42" customHeight="1" x14ac:dyDescent="0.25">
      <c r="A96" s="50" t="s">
        <v>255</v>
      </c>
      <c r="B96" s="1" t="str">
        <f>_xlfn._LONGTEXT("Electrodo bajo hidrógeno E7018 (Ø 2,4–3,2 mm); precalentamiento ≥ 100 °C; control de aporte térmico frente a perforación e hidrógeno. WPS calificado con el Apéndice Obligatorio 210-I; END diferido 24–72 h. Tramo drenado/despresurizado antes del cordón de ","cierre.")</f>
        <v>Electrodo bajo hidrógeno E7018 (Ø 2,4–3,2 mm); precalentamiento ≥ 100 °C; control de aporte térmico frente a perforación e hidrógeno. WPS calificado con el Apéndice Obligatorio 210-I; END diferido 24–72 h. Tramo drenado/despresurizado antes del cordón de cierre.</v>
      </c>
      <c r="C96" s="1"/>
      <c r="D96" s="1"/>
      <c r="E96" s="1"/>
      <c r="F96" s="1"/>
      <c r="G96" s="1"/>
    </row>
    <row r="97" spans="1:7" ht="42" customHeight="1" x14ac:dyDescent="0.25">
      <c r="A97" s="50" t="s">
        <v>256</v>
      </c>
      <c r="B97" s="1" t="str">
        <f>"100 % VT + 100 % PT/MT de juntas y filetes (criterio del código de construcción); UT de espesores bajo filetes y del área reparada; END diferido 24–72 h si es en servicio (Art. 210, 210-5.2)."</f>
        <v>100 % VT + 100 % PT/MT de juntas y filetes (criterio del código de construcción); UT de espesores bajo filetes y del área reparada; END diferido 24–72 h si es en servicio (Art. 210, 210-5.2).</v>
      </c>
      <c r="C97" s="1"/>
      <c r="D97" s="1"/>
      <c r="E97" s="1"/>
      <c r="F97" s="1"/>
      <c r="G97" s="1"/>
    </row>
    <row r="98" spans="1:7" ht="42" customHeight="1" x14ac:dyDescent="0.25">
      <c r="A98" s="50" t="s">
        <v>257</v>
      </c>
      <c r="B98" s="1" t="str">
        <f>"ED-B-06.00 / PE-B-0600.01 Esquema N° 1: Sa 2½ (ISO 8501-1); imprimación epoxi-Al 70 µm + intermedia epoxi MIO 110 µm + PU alifático 2×40 µm = 260 µm. Aplicación EC-B-53.00. Ajustar a la especificación del propietario."</f>
        <v>ED-B-06.00 / PE-B-0600.01 Esquema N° 1: Sa 2½ (ISO 8501-1); imprimación epoxi-Al 70 µm + intermedia epoxi MIO 110 µm + PU alifático 2×40 µm = 260 µm. Aplicación EC-B-53.00. Ajustar a la especificación del propietario.</v>
      </c>
      <c r="C98" s="1"/>
      <c r="D98" s="1"/>
      <c r="E98" s="1"/>
      <c r="F98" s="1"/>
      <c r="G98" s="1"/>
    </row>
    <row r="99" spans="1:7" ht="42" customHeight="1" x14ac:dyDescent="0.25">
      <c r="A99" s="50" t="s">
        <v>258</v>
      </c>
      <c r="B99" s="1" t="str">
        <f>"Prueba de fuga en servicio (VT+PT/MT) o hidrostática a "&amp;TEXT($D$46*$D$27,"0.0")&amp;" kg/cm² ("&amp;TEXT($D$46,"0.0")&amp;"×P_diseño). Tubería: PCC-2 Art. 212-6 / Art. 501. Recipiente: ASME VIII-1 UG-99."</f>
        <v>Prueba de fuga en servicio (VT+PT/MT) o hidrostática a 15.0 kg/cm² (1.5×P_diseño). Tubería: PCC-2 Art. 212-6 / Art. 501. Recipiente: ASME VIII-1 UG-99.</v>
      </c>
      <c r="C99" s="1"/>
      <c r="D99" s="1"/>
      <c r="E99" s="1"/>
      <c r="F99" s="1"/>
      <c r="G99" s="1"/>
    </row>
    <row r="101" spans="1:7" ht="27.75" customHeight="1" x14ac:dyDescent="0.25">
      <c r="A101" s="6" t="s">
        <v>259</v>
      </c>
      <c r="B101" s="6"/>
      <c r="C101" s="6"/>
      <c r="D101" s="6"/>
      <c r="E101" s="6"/>
      <c r="F101" s="6"/>
      <c r="G101" s="6"/>
    </row>
  </sheetData>
  <sheetProtection password="CC6F" sheet="1" formatCells="0" sort="0" autoFilter="0"/>
  <mergeCells count="28">
    <mergeCell ref="B98:G98"/>
    <mergeCell ref="B99:G99"/>
    <mergeCell ref="A101:G101"/>
    <mergeCell ref="B93:G93"/>
    <mergeCell ref="B94:G94"/>
    <mergeCell ref="B95:G95"/>
    <mergeCell ref="B96:G96"/>
    <mergeCell ref="B97:G97"/>
    <mergeCell ref="A87:C87"/>
    <mergeCell ref="A88:C88"/>
    <mergeCell ref="A89:C89"/>
    <mergeCell ref="A90:E90"/>
    <mergeCell ref="A92:G92"/>
    <mergeCell ref="A71:G71"/>
    <mergeCell ref="A82:G82"/>
    <mergeCell ref="A84:C84"/>
    <mergeCell ref="A85:C85"/>
    <mergeCell ref="A86:C86"/>
    <mergeCell ref="A8:G8"/>
    <mergeCell ref="A16:G16"/>
    <mergeCell ref="A37:G37"/>
    <mergeCell ref="A50:G50"/>
    <mergeCell ref="A59:G59"/>
    <mergeCell ref="A1:G1"/>
    <mergeCell ref="A2:G2"/>
    <mergeCell ref="A4:G4"/>
    <mergeCell ref="D5:F5"/>
    <mergeCell ref="D6:F6"/>
  </mergeCells>
  <conditionalFormatting sqref="D69:F69">
    <cfRule type="expression" dxfId="11" priority="2">
      <formula>ISNUMBER(SEARCH("NO CUMPLE",D69))</formula>
    </cfRule>
    <cfRule type="expression" dxfId="10" priority="3">
      <formula>ISNUMBER(SEARCH("REVISAR",D69))</formula>
    </cfRule>
    <cfRule type="expression" dxfId="9" priority="4">
      <formula>ISNUMBER(SEARCH("Migrar",D69))</formula>
    </cfRule>
    <cfRule type="expression" dxfId="8" priority="5">
      <formula>AND(ISNUMBER(SEARCH("CUMPLE",D69)),NOT(ISNUMBER(SEARCH("NO CUMPLE",D69))))</formula>
    </cfRule>
    <cfRule type="expression" dxfId="7" priority="6">
      <formula>ISNUMBER(SEARCH("APTO",D69))</formula>
    </cfRule>
    <cfRule type="expression" dxfId="6" priority="7">
      <formula>OR(ISNUMBER(SEARCH("OK",D69)),ISNUMBER(SEARCH("Refuerzo 360",D69)),ISNUMBER(SEARCH("Parche local",D69)))</formula>
    </cfRule>
  </conditionalFormatting>
  <conditionalFormatting sqref="F84:F90">
    <cfRule type="expression" dxfId="5" priority="8">
      <formula>ISNUMBER(SEARCH("NO CUMPLE",F84))</formula>
    </cfRule>
    <cfRule type="expression" dxfId="4" priority="9">
      <formula>ISNUMBER(SEARCH("REVISAR",F84))</formula>
    </cfRule>
    <cfRule type="expression" dxfId="3" priority="10">
      <formula>ISNUMBER(SEARCH("Migrar",F84))</formula>
    </cfRule>
    <cfRule type="expression" dxfId="2" priority="11">
      <formula>AND(ISNUMBER(SEARCH("CUMPLE",F84)),NOT(ISNUMBER(SEARCH("NO CUMPLE",F84))))</formula>
    </cfRule>
    <cfRule type="expression" dxfId="1" priority="12">
      <formula>ISNUMBER(SEARCH("APTO",F84))</formula>
    </cfRule>
    <cfRule type="expression" dxfId="0" priority="13">
      <formula>OR(ISNUMBER(SEARCH("OK",F84)),ISNUMBER(SEARCH("Refuerzo 360",F84)),ISNUMBER(SEARCH("Parche local",F84)))</formula>
    </cfRule>
  </conditionalFormatting>
  <dataValidations count="4">
    <dataValidation type="list" sqref="D10" xr:uid="{00000000-0002-0000-0200-000000000000}">
      <formula1>"Tubería (B31.3),Virola cilíndrica (VIII-1),Cabezal/esfera (VIII-1)"</formula1>
      <formula2>0</formula2>
    </dataValidation>
    <dataValidation type="list" sqref="D18" xr:uid="{00000000-0002-0000-0200-000001000000}">
      <formula1>"0.5,0.75,1,1.25,1.5,2,2.5,3,3.5,4,5,6,8,10,12,14,16,18,20,22,24,26,28,30,32,34,36,38,40,42,44,46,48"</formula1>
      <formula2>0</formula2>
    </dataValidation>
    <dataValidation type="list" sqref="D19" xr:uid="{00000000-0002-0000-0200-000002000000}">
      <formula1>"5,10,20,30,40,60,80,100,120,140,160,STD,XS,XXS"</formula1>
      <formula2>0</formula2>
    </dataValidation>
    <dataValidation type="list" sqref="D22:D23" xr:uid="{00000000-0002-0000-0200-000003000000}">
      <formula1>"A106 Gr.B,A516 Gr.70,A105,A285 Gr.C,A333 Gr.6,A53 Gr.B"</formula1>
      <formula2>0</formula2>
    </dataValidation>
  </dataValidations>
  <pageMargins left="0.3" right="0.3" top="0.45" bottom="0.45" header="0.511811023622047" footer="0.511811023622047"/>
  <pageSetup fitToHeight="0" orientation="landscape" horizontalDpi="300" verticalDpi="30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Instrucciones</vt:lpstr>
      <vt:lpstr>Datos_Ref</vt:lpstr>
      <vt:lpstr>Parche_PCC2_Art212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Daniel Velasquez Naranjo</cp:lastModifiedBy>
  <cp:revision>0</cp:revision>
  <dcterms:created xsi:type="dcterms:W3CDTF">2026-09-06T04:25:06Z</dcterms:created>
  <dcterms:modified xsi:type="dcterms:W3CDTF">2026-09-15T18:47:09Z</dcterms:modified>
  <dc:language>en-US</dc:language>
</cp:coreProperties>
</file>