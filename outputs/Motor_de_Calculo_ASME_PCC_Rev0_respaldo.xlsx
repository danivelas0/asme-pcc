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_Ref" sheetId="2" state="visible" r:id="rId4"/>
    <sheet name="Parche_PCC2_Art21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1" authorId="0">
      <text>
        <r>
          <rPr>
            <sz val="10"/>
            <rFont val="Arial"/>
            <family val="2"/>
          </rPr>
          <t xml:space="preserve">Sa a T ≤ 40 °C. Base B31.3: menor de Su/3 y 2/3·Sy (Tabla A-1). Base VIII-1/II-D 1A: menor de Su/3,5 y 2/3·Sy. Para T mayor, cargar las tablas completas por temperatura.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4" authorId="0">
      <text>
        <r>
          <rPr>
            <sz val="10"/>
            <rFont val="Arial"/>
            <family val="2"/>
          </rPr>
          <t xml:space="preserve">PCC-2 Art. 212-3.4, ec. 4. El cateto adoptado debe superar el requerido en la presión envolvente.</t>
        </r>
      </text>
    </comment>
    <comment ref="A85" authorId="0">
      <text>
        <r>
          <rPr>
            <sz val="10"/>
            <rFont val="Arial"/>
            <family val="2"/>
          </rPr>
          <t xml:space="preserve">PCC-2 Art. 212-3.4(c), ec. 5. Verificado a la presión de diseño.</t>
        </r>
      </text>
    </comment>
    <comment ref="A86" authorId="0">
      <text>
        <r>
          <rPr>
            <sz val="10"/>
            <rFont val="Arial"/>
            <family val="2"/>
          </rPr>
          <t xml:space="preserve">PCC-2 Art. 212-3.5, ec. 7 (curvatura simple).</t>
        </r>
      </text>
    </comment>
    <comment ref="A87" authorId="0">
      <text>
        <r>
          <rPr>
            <sz val="10"/>
            <rFont val="Arial"/>
            <family val="2"/>
          </rPr>
          <t xml:space="preserve">Espesor de pared del componente base vs. el requerido por presión (B31.3 o VIII-1 UG-27) en la presión envolvente.</t>
        </r>
      </text>
    </comment>
    <comment ref="A88" authorId="0">
      <text>
        <r>
          <rPr>
            <sz val="10"/>
            <rFont val="Arial"/>
            <family val="2"/>
          </rPr>
          <t xml:space="preserve">PCC-2 Art. 212-3.3. Si L_def &lt; Lmín, diseñar como refuerzo 360° que rodea la abertura (212-3.3(c)).</t>
        </r>
      </text>
    </comment>
    <comment ref="A89" authorId="0">
      <text>
        <r>
          <rPr>
            <sz val="10"/>
            <rFont val="Arial"/>
            <family val="2"/>
          </rPr>
          <t xml:space="preserve">Si la presión de diseño supera la máxima admisible del parche de solape, migrar a camisa tipo B con soldaduras circunferenciales de penetración completa (PCC-2 Art. 206).</t>
        </r>
      </text>
    </comment>
    <comment ref="A93" authorId="0">
      <text>
        <r>
          <rPr>
            <sz val="10"/>
            <rFont val="Arial"/>
            <family val="2"/>
          </rPr>
          <t xml:space="preserve">Se arma con el selector de aplicación/código y los materiales/geometría de entrada.</t>
        </r>
      </text>
    </comment>
    <comment ref="A99" authorId="0">
      <text>
        <r>
          <rPr>
            <sz val="10"/>
            <rFont val="Arial"/>
            <family val="2"/>
          </rPr>
          <t xml:space="preserve">La presión de prueba usa el factor de la celda §Parámetros (1,5 B31.3 / 1,3 VIII-1 UG-99).</t>
        </r>
      </text>
    </comment>
    <comment ref="D10" authorId="0">
      <text>
        <r>
          <rPr>
            <sz val="10"/>
            <rFont val="Arial"/>
            <family val="2"/>
          </rPr>
          <t xml:space="preserve">Selector. Conmuta: (a) fuente del esfuerzo admisible S, (b) fórmula de espesor requerido t_req, (c) factor de geometría de la fuerza de membrana. PCC-2 Art. 212 aplica a envolventes de tubería y recipiente (su figura 212-1-1 es una reparación de virola).</t>
        </r>
      </text>
    </comment>
    <comment ref="D11" authorId="0">
      <text>
        <r>
          <rPr>
            <sz val="10"/>
            <rFont val="Arial"/>
            <family val="2"/>
          </rPr>
          <t xml:space="preserve">Índice interno del selector. 1=tubería (B31.3), 2=virola cilíndrica (VIII-1), 3=cabezal/esfera (VIII-1).</t>
        </r>
      </text>
    </comment>
    <comment ref="D12" authorId="0">
      <text>
        <r>
          <rPr>
            <sz val="10"/>
            <rFont val="Arial"/>
            <family val="2"/>
          </rPr>
          <t xml:space="preserve">Código de construcción/registro cuyo esfuerzo admisible rige el cálculo (PCC-2 101-3.10).</t>
        </r>
      </text>
    </comment>
    <comment ref="D13" authorId="0">
      <text>
        <r>
          <rPr>
            <sz val="10"/>
            <rFont val="Arial"/>
            <family val="2"/>
          </rPr>
          <t xml:space="preserve">Tabla de origen del admisible S según el código seleccionado.</t>
        </r>
      </text>
    </comment>
    <comment ref="D14" authorId="0">
      <text>
        <r>
          <rPr>
            <sz val="10"/>
            <rFont val="Arial"/>
            <family val="2"/>
          </rPr>
          <t xml:space="preserve">Fuerza de membrana gobernante F = kf·P·Dm. Cilindro (aro): F=P·Dm/2 → kf=0,5. Esfera/cabezal: F=P·Dm/4 → kf=0,25 (PCC-2 Art. 212-3.2).</t>
        </r>
      </text>
    </comment>
    <comment ref="D18" authorId="0">
      <text>
        <r>
          <rPr>
            <sz val="10"/>
            <rFont val="Arial"/>
            <family val="2"/>
          </rPr>
          <t xml:space="preserve">Diámetro nominal. Con la cédula, determina OD y espesor por lookup en Datos_Ref (ASME B36.10M-2022).</t>
        </r>
      </text>
    </comment>
    <comment ref="D19" authorId="0">
      <text>
        <r>
          <rPr>
            <sz val="10"/>
            <rFont val="Arial"/>
            <family val="2"/>
          </rPr>
          <t xml:space="preserve">Cédula ASME B36.10M. Con el NPS define el espesor de pared.</t>
        </r>
      </text>
    </comment>
    <comment ref="D20" authorId="0">
      <text>
        <r>
          <rPr>
            <sz val="10"/>
            <rFont val="Arial"/>
            <family val="2"/>
          </rPr>
          <t xml:space="preserve">Diámetro exterior. ASME B36.10M-2022, Table 2-1 (Datos_Ref).</t>
        </r>
      </text>
    </comment>
    <comment ref="D21" authorId="0">
      <text>
        <r>
          <rPr>
            <sz val="10"/>
            <rFont val="Arial"/>
            <family val="2"/>
          </rPr>
          <t xml:space="preserve">Espesor de pared nominal. ASME B36.10M-2022, Table 2-1. Si resulta 0, esa cédula no está definida para ese NPS: elija otra.</t>
        </r>
      </text>
    </comment>
    <comment ref="D22" authorId="0">
      <text>
        <r>
          <rPr>
            <sz val="10"/>
            <rFont val="Arial"/>
            <family val="2"/>
          </rPr>
          <t xml:space="preserve">Material del componente base (tubería o virola/cabezal). Define su esfuerzo admisible por código.</t>
        </r>
      </text>
    </comment>
    <comment ref="D23" authorId="0">
      <text>
        <r>
          <rPr>
            <sz val="10"/>
            <rFont val="Arial"/>
            <family val="2"/>
          </rPr>
          <t xml:space="preserve">Material de la plancha del parche/collar. Define su esfuerzo admisible por código.</t>
        </r>
      </text>
    </comment>
    <comment ref="D25" authorId="0">
      <text>
        <r>
          <rPr>
            <sz val="10"/>
            <rFont val="Arial"/>
            <family val="2"/>
          </rPr>
          <t xml:space="preserve">Temperatura de operación/diseño. La tabla de admisibles es para T ≤ 40 °C; para más, actualizar Sa.</t>
        </r>
      </text>
    </comment>
    <comment ref="D26" authorId="0">
      <text>
        <r>
          <rPr>
            <sz val="10"/>
            <rFont val="Arial"/>
            <family val="2"/>
          </rPr>
          <t xml:space="preserve">Presión de operación.</t>
        </r>
      </text>
    </comment>
    <comment ref="D27" authorId="0">
      <text>
        <r>
          <rPr>
            <sz val="10"/>
            <rFont val="Arial"/>
            <family val="2"/>
          </rPr>
          <t xml:space="preserve">Presión de diseño. Columna 'Diseño' del cálculo y verificación de excentricidad.</t>
        </r>
      </text>
    </comment>
    <comment ref="D28" authorId="0">
      <text>
        <r>
          <rPr>
            <sz val="10"/>
            <rFont val="Arial"/>
            <family val="2"/>
          </rPr>
          <t xml:space="preserve">Cota superior (p. ej. rating de brida). Columna 'Envolvente' del cálculo.</t>
        </r>
      </text>
    </comment>
    <comment ref="D29" authorId="0">
      <text>
        <r>
          <rPr>
            <sz val="10"/>
            <rFont val="Arial"/>
            <family val="2"/>
          </rPr>
          <t xml:space="preserve">Espesor de la plancha del parche. Gobierna robustez/soldabilidad, no la membrana.</t>
        </r>
      </text>
    </comment>
    <comment ref="D30" authorId="0">
      <text>
        <r>
          <rPr>
            <sz val="10"/>
            <rFont val="Arial"/>
            <family val="2"/>
          </rPr>
          <t xml:space="preserve">Altura del collar (tubería) o dimensión del parche. Para peso y cobertura.</t>
        </r>
      </text>
    </comment>
    <comment ref="D31" authorId="0">
      <text>
        <r>
          <rPr>
            <sz val="10"/>
            <rFont val="Arial"/>
            <family val="2"/>
          </rPr>
          <t xml:space="preserve">Separación radial entre parche y componente. Afecta el desarrollo y, si ≥1,5 mm en el faying, se suma a la excentricidad (PCC-2 212-4(c)).</t>
        </r>
      </text>
    </comment>
    <comment ref="D32" authorId="0">
      <text>
        <r>
          <rPr>
            <sz val="10"/>
            <rFont val="Arial"/>
            <family val="2"/>
          </rPr>
          <t xml:space="preserve">Cateto de la soldadura de filete perimetral (adoptado). Se compara con w_mín.</t>
        </r>
      </text>
    </comment>
    <comment ref="D33" authorId="0">
      <text>
        <r>
          <rPr>
            <sz val="10"/>
            <rFont val="Arial"/>
            <family val="2"/>
          </rPr>
          <t xml:space="preserve">Solape del parche sobre metal sano, por extremo. PCC-2 Art. 212.</t>
        </r>
      </text>
    </comment>
    <comment ref="D34" authorId="0">
      <text>
        <r>
          <rPr>
            <sz val="10"/>
            <rFont val="Arial"/>
            <family val="2"/>
          </rPr>
          <t xml:space="preserve">Tamaño del defecto/fuga. La caracterización del mecanismo y extensión es requisito de PCC-2 Art. 212-2.</t>
        </r>
      </text>
    </comment>
    <comment ref="D35" authorId="0">
      <text>
        <r>
          <rPr>
            <sz val="10"/>
            <rFont val="Arial"/>
            <family val="2"/>
          </rPr>
          <t xml:space="preserve">Distancia del defecto a la discontinuidad estructural (brida, boquilla, cordón). Se compara con Lmín (ec. 3).</t>
        </r>
      </text>
    </comment>
    <comment ref="D39" authorId="0">
      <text>
        <r>
          <rPr>
            <sz val="10"/>
            <rFont val="Arial"/>
            <family val="2"/>
          </rPr>
          <t xml:space="preserve">Esfuerzo admisible del material del parche, según el código del selector (B31.3 Tabla A-1 o ASME II-D Tabla 1A). T ≤ 40 °C.</t>
        </r>
      </text>
    </comment>
    <comment ref="D40" authorId="0">
      <text>
        <r>
          <rPr>
            <sz val="10"/>
            <rFont val="Arial"/>
            <family val="2"/>
          </rPr>
          <t xml:space="preserve">Esfuerzo admisible del componente base, por código. Gobierna el espesor requerido t_req.</t>
        </r>
      </text>
    </comment>
    <comment ref="D41" authorId="0">
      <text>
        <r>
          <rPr>
            <sz val="10"/>
            <rFont val="Arial"/>
            <family val="2"/>
          </rPr>
          <t xml:space="preserve">Gobierna el menor entre parche y metal base. Se usa en el filete (ec. 4), la excentricidad (ec. 5) y la presión máxima admisible del parche.</t>
        </r>
      </text>
    </comment>
    <comment ref="D42" authorId="0">
      <text>
        <r>
          <rPr>
            <sz val="10"/>
            <rFont val="Arial"/>
            <family val="2"/>
          </rPr>
          <t xml:space="preserve">Eficiencia de junta de la soldadura de filete. PCC-2 Art. 212-3.4, ec. 4 (valor 0,55).</t>
        </r>
      </text>
    </comment>
    <comment ref="D43" authorId="0">
      <text>
        <r>
          <rPr>
            <sz val="10"/>
            <rFont val="Arial"/>
            <family val="2"/>
          </rPr>
          <t xml:space="preserve">Coeficiente Y de la ecuación de espesor de B31.3 (aceros ferríticos ≤ 480 °C: 0,4).</t>
        </r>
      </text>
    </comment>
    <comment ref="D44" authorId="0">
      <text>
        <r>
          <rPr>
            <sz val="10"/>
            <rFont val="Arial"/>
            <family val="2"/>
          </rPr>
          <t xml:space="preserve">Eficiencia/calidad de junta longitudinal del componente: B31.3 (Ej) o VIII-1 UW-12 (E). Sin costura = 1,0.</t>
        </r>
      </text>
    </comment>
    <comment ref="D45" authorId="0">
      <text>
        <r>
          <rPr>
            <sz val="10"/>
            <rFont val="Arial"/>
            <family val="2"/>
          </rPr>
          <t xml:space="preserve">Densidad del acero para el peso estimado.</t>
        </r>
      </text>
    </comment>
    <comment ref="D46" authorId="0">
      <text>
        <r>
          <rPr>
            <sz val="10"/>
            <rFont val="Arial"/>
            <family val="2"/>
          </rPr>
          <t xml:space="preserve">Factor de presión de prueba hidrostática. B31.3 §345.4.2 (1,5). VIII-1 UG-99 usa 1,3 sobre MAWP.</t>
        </r>
      </text>
    </comment>
    <comment ref="D47" authorId="0">
      <text>
        <r>
          <rPr>
            <sz val="10"/>
            <rFont val="Arial"/>
            <family val="2"/>
          </rPr>
          <t xml:space="preserve">Factor de conversión de presión.</t>
        </r>
      </text>
    </comment>
    <comment ref="D48" authorId="0">
      <text>
        <r>
          <rPr>
            <sz val="10"/>
            <rFont val="Arial"/>
            <family val="2"/>
          </rPr>
          <t xml:space="preserve">Límite de la ec. 5: S_w ≤ 1,5·Sa (PCC-2 Art. 212-3.4(c)).</t>
        </r>
      </text>
    </comment>
    <comment ref="D52" authorId="0">
      <text>
        <r>
          <rPr>
            <sz val="10"/>
            <rFont val="Arial"/>
            <family val="2"/>
          </rPr>
          <t xml:space="preserve">Diámetro a media pared. PCC-2 Art. 212-3.2.</t>
        </r>
      </text>
    </comment>
    <comment ref="D53" authorId="0">
      <text>
        <r>
          <rPr>
            <sz val="10"/>
            <rFont val="Arial"/>
            <family val="2"/>
          </rPr>
          <t xml:space="preserve">Radio a media pared. Se usa en Lmín (ec. 3).</t>
        </r>
      </text>
    </comment>
    <comment ref="D54" authorId="0">
      <text>
        <r>
          <rPr>
            <sz val="10"/>
            <rFont val="Arial"/>
            <family val="2"/>
          </rPr>
          <t xml:space="preserve">Radio interior. Se usa en el espesor requerido de VIII-1 (UG-27).</t>
        </r>
      </text>
    </comment>
    <comment ref="D55" authorId="0">
      <text>
        <r>
          <rPr>
            <sz val="10"/>
            <rFont val="Arial"/>
            <family val="2"/>
          </rPr>
          <t xml:space="preserve">Excentricidad de la trayectoria de carga del parche de solape. PCC-2 Art. 212-3.4(c). Si la luz de faying ≥ 1,5 mm, sumarla (212-4(c)).</t>
        </r>
      </text>
    </comment>
    <comment ref="D56" authorId="0">
      <text>
        <r>
          <rPr>
            <sz val="10"/>
            <rFont val="Arial"/>
            <family val="2"/>
          </rPr>
          <t xml:space="preserve">Radio de la fibra media del parche conformado. Para la deformación de conformado (ec. 7).</t>
        </r>
      </text>
    </comment>
    <comment ref="D57" authorId="0">
      <text>
        <r>
          <rPr>
            <sz val="10"/>
            <rFont val="Arial"/>
            <family val="2"/>
          </rPr>
          <t xml:space="preserve">Coeficiente tal que S_w = P·C_sw, con C_sw = kf·(Dm/T)·(1+6e/T). Reduce a la ec. 5 de PCC-2 para cilindro (kf=0,5) y la extiende a esfera (kf=0,25).</t>
        </r>
      </text>
    </comment>
    <comment ref="D61" authorId="0">
      <text>
        <r>
          <rPr>
            <sz val="10"/>
            <rFont val="Arial"/>
            <family val="2"/>
          </rPr>
          <t xml:space="preserve">Tres niveles: operación, diseño típico y envolvente (cota superior).</t>
        </r>
      </text>
    </comment>
    <comment ref="D63" authorId="0">
      <text>
        <r>
          <rPr>
            <sz val="10"/>
            <rFont val="Arial"/>
            <family val="2"/>
          </rPr>
          <t xml:space="preserve">Fuerza de membrana por unidad de longitud. Cilindro: P·Dm/2 (aro, gobernante). Esfera/cabezal: P·Dm/4. PCC-2 Art. 212-3.2, ec. 1-2.</t>
        </r>
      </text>
    </comment>
    <comment ref="D64" authorId="0">
      <text>
        <r>
          <rPr>
            <sz val="10"/>
            <rFont val="Arial"/>
            <family val="2"/>
          </rPr>
          <t xml:space="preserve">Cateto de filete requerido. PCC-2 Art. 212-3.4, ec. 4: w = F/(E·Sa), con E=0,55.</t>
        </r>
      </text>
    </comment>
    <comment ref="D65" authorId="0">
      <text>
        <r>
          <rPr>
            <sz val="10"/>
            <rFont val="Arial"/>
            <family val="2"/>
          </rPr>
          <t xml:space="preserve">Espesor de pared requerido por presión, según el código: Tubería B31.3 t=PD/(2(SE+PY)); Virola VIII-1 UG-27 t=PR/(SE−0,6P); Cabezal/esfera UG-27(d) t=PR/(2SE−0,2P). R = radio interior.</t>
        </r>
      </text>
    </comment>
    <comment ref="D66" authorId="0">
      <text>
        <r>
          <rPr>
            <sz val="10"/>
            <rFont val="Arial"/>
            <family val="2"/>
          </rPr>
          <t xml:space="preserve">Componente de membrana del esfuerzo en la soldadura: F/T. PCC-2 Art. 212-3.4(c), ec. 5.</t>
        </r>
      </text>
    </comment>
    <comment ref="D67" authorId="0">
      <text>
        <r>
          <rPr>
            <sz val="10"/>
            <rFont val="Arial"/>
            <family val="2"/>
          </rPr>
          <t xml:space="preserve">Componente de flexión por excentricidad: 6·F·e/T². Equivale a 3·P·Dm·e/T² de PCC-2 ec.5 para cilindro.</t>
        </r>
      </text>
    </comment>
    <comment ref="D68" authorId="0">
      <text>
        <r>
          <rPr>
            <sz val="10"/>
            <rFont val="Arial"/>
            <family val="2"/>
          </rPr>
          <t xml:space="preserve">Esfuerzo total en la soldadura por la excentricidad. Límite 1,5·Sa (PCC-2 Art. 212-3.4(c), ec. 5).</t>
        </r>
      </text>
    </comment>
    <comment ref="D73" authorId="0">
      <text>
        <r>
          <rPr>
            <sz val="10"/>
            <rFont val="Arial"/>
            <family val="2"/>
          </rPr>
          <t xml:space="preserve">Distancia mínima (setback) a la discontinuidad estructural. PCC-2 Art. 212-3.3(a), ec. 3 (geometría cilíndrica). Si L_def &lt; Lmín, el parche se diseña como refuerzo 360° (212-3.3(c)).</t>
        </r>
      </text>
    </comment>
    <comment ref="D74" authorId="0">
      <text>
        <r>
          <rPr>
            <sz val="10"/>
            <rFont val="Arial"/>
            <family val="2"/>
          </rPr>
          <t xml:space="preserve">Presión máxima admisible del parche por la ec. 5 (S_w = 1,5·Sa).</t>
        </r>
      </text>
    </comment>
    <comment ref="D75" authorId="0">
      <text>
        <r>
          <rPr>
            <sz val="10"/>
            <rFont val="Arial"/>
            <family val="2"/>
          </rPr>
          <t xml:space="preserve">Presión máxima admisible del parche en kg/cm².</t>
        </r>
      </text>
    </comment>
    <comment ref="D76" authorId="0">
      <text>
        <r>
          <rPr>
            <sz val="10"/>
            <rFont val="Arial"/>
            <family val="2"/>
          </rPr>
          <t xml:space="preserve">Relación entre la presión máxima admisible del parche y la de operación.</t>
        </r>
      </text>
    </comment>
    <comment ref="D77" authorId="0">
      <text>
        <r>
          <rPr>
            <sz val="10"/>
            <rFont val="Arial"/>
            <family val="2"/>
          </rPr>
          <t xml:space="preserve">Deformación de fibra externa por conformado en frío (curvatura simple). PCC-2 Art. 212-3.5, ec. 7. Límite 5%. (Doble curvatura: 75·T/Rf, ec. 6.)</t>
        </r>
      </text>
    </comment>
    <comment ref="D78" authorId="0">
      <text>
        <r>
          <rPr>
            <sz val="10"/>
            <rFont val="Arial"/>
            <family val="2"/>
          </rPr>
          <t xml:space="preserve">Desarrollo (longitud en plano) de una media carcasa (180°), a fibra media. Aplica al collar de encierro total en tubería.</t>
        </r>
      </text>
    </comment>
    <comment ref="D79" authorId="0">
      <text>
        <r>
          <rPr>
            <sz val="10"/>
            <rFont val="Arial"/>
            <family val="2"/>
          </rPr>
          <t xml:space="preserve">Longitud de corte = desarrollo menos la luz de raíz de las 2 juntas longitudinales.</t>
        </r>
      </text>
    </comment>
    <comment ref="D80" authorId="0">
      <text>
        <r>
          <rPr>
            <sz val="10"/>
            <rFont val="Arial"/>
            <family val="2"/>
          </rPr>
          <t xml:space="preserve">Peso estimado (2 medias carcasas de L×H×T). Para parche local, ajustar la geometría.</t>
        </r>
      </text>
    </comment>
    <comment ref="F90" authorId="0">
      <text>
        <r>
          <rPr>
            <sz val="10"/>
            <rFont val="Arial"/>
            <family val="2"/>
          </rPr>
          <t xml:space="preserve">APTO si cumplen filete, excentricidad, conformado y espesor. La ubicación y la presión-vs-parche orientan el tipo de refuerzo (parche local/360°/Tipo B).</t>
        </r>
      </text>
    </comment>
  </commentList>
</comments>
</file>

<file path=xl/sharedStrings.xml><?xml version="1.0" encoding="utf-8"?>
<sst xmlns="http://schemas.openxmlformats.org/spreadsheetml/2006/main" count="348" uniqueCount="260">
  <si>
    <t xml:space="preserve">MOTOR DE CÁLCULO — ASME PCC (CÓDIGOS POST-CONSTRUCCIÓN)</t>
  </si>
  <si>
    <t xml:space="preserve">Reparación, montaje e inspección de equipos a presión y tubería según la familia ASME PCC (PCC-1 / PCC-2 / PCC-3) · Códigos de construcción de referencia: ASME B31.3 y ASME BPVC VIII-1</t>
  </si>
  <si>
    <t xml:space="preserve">Objeto</t>
  </si>
  <si>
    <t xml:space="preserve">Estandariza y automatiza los cálculos y las especificaciones técnicas del ciclo de integridad de equipos a presión y tubería bajo la familia de códigos post-construcción ASME PCC, tanto para tubería (ASME B31.3) como para recipientes (ASME BPVC VIII-1). Cada pestaña cubre un caso o artículo de ASME PCC según la aplicación.</t>
  </si>
  <si>
    <t xml:space="preserve">Familia ASME PCC</t>
  </si>
  <si>
    <t xml:space="preserve">• ASME PCC-1 — Pressure Boundary Bolted Flange Joint Assembly (montaje/apriete de uniones bridadas).
• ASME PCC-2 — Repair of Pressure Equipment and Piping (métodos de reparación).
• ASME PCC-3 — Inspection Planning Using Risk-Based Methods (planificación de inspección basada en riesgo).</t>
  </si>
  <si>
    <t xml:space="preserve">Módulos (pestañas)</t>
  </si>
  <si>
    <t xml:space="preserve">Módulo actual: «Parche_PCC2_Art212» — parche/collar de refuerzo soldado (ASME PCC-2, Art. 212/206), parametrizado por aplicación/código y con un caso precargado. Copie la pestaña para un caso nuevo. Módulos previstos: otros artículos de PCC-2 (insert plate 201, weld overlay 211, caja de fuga 204, soldadura en servicio 210) y utilidades de PCC-1 y PCC-3.
«Datos_Ref»: dimensiones de tubería (ASME B36.10M-2022) y esfuerzos admisibles por código.</t>
  </si>
  <si>
    <t xml:space="preserve">Cómo se usa</t>
  </si>
  <si>
    <t xml:space="preserve">Edite únicamente las celdas de ENTRADA (texto azul sobre fondo amarillo). El resto está bloqueado y se recalcula solo. En cada módulo, empiece por el selector «Aplicación / Código», que conmuta el esfuerzo admisible, la fórmula de espesor requerido y la fuerza de membrana según sea tubería o recipiente.</t>
  </si>
  <si>
    <t xml:space="preserve">Protección</t>
  </si>
  <si>
    <t xml:space="preserve">Las hojas están protegidas para preservar las fórmulas. Contraseña preliminar: 0000 (Revisar → Desproteger hoja). Solo las celdas de entrada quedan desbloqueadas.</t>
  </si>
  <si>
    <t xml:space="preserve">Comentarios</t>
  </si>
  <si>
    <t xml:space="preserve">Cada celda de cálculo tiene un comentario (triángulo rojo) con la referencia del artículo/ecuación ASME o una nota técnica. Pase el cursor para verlo.</t>
  </si>
  <si>
    <t xml:space="preserve">Unidades</t>
  </si>
  <si>
    <t xml:space="preserve">Sistema internacional (SI). Presiones en kg/cm² (se convierten a MPa). Longitudes en mm; esfuerzos en MPa.</t>
  </si>
  <si>
    <t xml:space="preserve">Leyenda</t>
  </si>
  <si>
    <t xml:space="preserve">Azul sobre amarillo = entrada editable · negro = resultado por fórmula · verde = CUMPLE/APTO · rojo = NO CUMPLE/revisar.</t>
  </si>
  <si>
    <t xml:space="preserve">Base normativa</t>
  </si>
  <si>
    <t xml:space="preserve">Cada módulo sigue el artículo de ASME PCC aplicable (p. ej., PCC-2 Art. 212 para parches de filete), con el esfuerzo admisible y la ecuación de espesor del código de construcción que gobierna: ASME B31.3 (tubería) o ASME BPVC VIII-1 (recipientes). Conforme a PCC-2 §101-3.10, los cálculos usan el admisible del código de construcción/post-construcción.</t>
  </si>
  <si>
    <t xml:space="preserve">Aviso</t>
  </si>
  <si>
    <t xml:space="preserve">Herramienta de ingeniería de referencia. Verificar entradas y resultados; complementar con WPS/PQR, ATS/JSA y registros del propietario. Revisión y aprobación por personal calificado antes de ejecutar.</t>
  </si>
  <si>
    <t xml:space="preserve">DATOS DE REFERENCIA</t>
  </si>
  <si>
    <t xml:space="preserve">Alimenta los lookups del motor. Verificar contra la edición vigente de las normas antes de emitir.</t>
  </si>
  <si>
    <t xml:space="preserve">A. DIMENSIONES DE TUBERÍA — ASME B36.10M-2022 (Tabla 2-1): OD y espesor de pared (mm) por cédula.  Celda vacía = cédula no definida para ese NPS.</t>
  </si>
  <si>
    <t xml:space="preserve">NPS (in)</t>
  </si>
  <si>
    <t xml:space="preserve">OD (mm)</t>
  </si>
  <si>
    <t xml:space="preserve">5</t>
  </si>
  <si>
    <t xml:space="preserve">10</t>
  </si>
  <si>
    <t xml:space="preserve">20</t>
  </si>
  <si>
    <t xml:space="preserve">30</t>
  </si>
  <si>
    <t xml:space="preserve">40</t>
  </si>
  <si>
    <t xml:space="preserve">60</t>
  </si>
  <si>
    <t xml:space="preserve">80</t>
  </si>
  <si>
    <t xml:space="preserve">100</t>
  </si>
  <si>
    <t xml:space="preserve">120</t>
  </si>
  <si>
    <t xml:space="preserve">140</t>
  </si>
  <si>
    <t xml:space="preserve">160</t>
  </si>
  <si>
    <t xml:space="preserve">STD</t>
  </si>
  <si>
    <t xml:space="preserve">XS</t>
  </si>
  <si>
    <t xml:space="preserve">XXS</t>
  </si>
  <si>
    <t xml:space="preserve">B. ESFUERZOS ADMISIBLES S (MPa) — acero al carbono, T ≤ 40 °C.  Sa(B31.3)=Tabla A-1 (factor 3,0 sobre tracción);  Sa(VIII-1)=ASME II-D Tabla 1A (factor 3,5).</t>
  </si>
  <si>
    <t xml:space="preserve">Material</t>
  </si>
  <si>
    <t xml:space="preserve">Sa B31.3</t>
  </si>
  <si>
    <t xml:space="preserve">Sa VIII-1</t>
  </si>
  <si>
    <t xml:space="preserve">A106 Gr.B</t>
  </si>
  <si>
    <t xml:space="preserve">A516 Gr.70</t>
  </si>
  <si>
    <t xml:space="preserve">A105</t>
  </si>
  <si>
    <t xml:space="preserve">A285 Gr.C</t>
  </si>
  <si>
    <t xml:space="preserve">A333 Gr.6</t>
  </si>
  <si>
    <t xml:space="preserve">A53 Gr.B</t>
  </si>
  <si>
    <t xml:space="preserve">Notas: (1) OD y espesor según ASME B36.10M-2022, Table 2-1. (2) Para NPS ≥ 26 solo se tabulan cédulas de uso corriente. (3) Sa a T ≤ 40 °C; para otras temperaturas usar B31.3 Tabla A-1 / ASME II-D Tabla 1A completas.</t>
  </si>
  <si>
    <t xml:space="preserve">MOTOR DE CÁLCULO — PARCHE / COLLAR DE REFUERZO SOLDADO</t>
  </si>
  <si>
    <t xml:space="preserve">ASME PCC-2-2022, Art. 212/206 · Parametrizado por aplicación/código · Caso precargado: Línea 12"-CWS-46-032-B1 (U46)</t>
  </si>
  <si>
    <t xml:space="preserve">IDENTIFICACIÓN</t>
  </si>
  <si>
    <t xml:space="preserve">Documento</t>
  </si>
  <si>
    <t xml:space="preserve">MC-REP-U46-CWS-032</t>
  </si>
  <si>
    <t xml:space="preserve">Rev.: 0</t>
  </si>
  <si>
    <t xml:space="preserve">Componente / servicio</t>
  </si>
  <si>
    <t xml:space="preserve">Cuello de brida WN 12" Cl.150 · Agua de enfriamiento</t>
  </si>
  <si>
    <t xml:space="preserve">Unidad: U46</t>
  </si>
  <si>
    <t xml:space="preserve">APLICACIÓN Y CÓDIGO DE CONSTRUCCIÓN  (selector que conmuta S, t_req y la fuerza de membrana)</t>
  </si>
  <si>
    <t xml:space="preserve">Parámetro</t>
  </si>
  <si>
    <t xml:space="preserve">Símbolo</t>
  </si>
  <si>
    <t xml:space="preserve">Unidad</t>
  </si>
  <si>
    <t xml:space="preserve">Valor</t>
  </si>
  <si>
    <t xml:space="preserve">Referencia / Notas</t>
  </si>
  <si>
    <t xml:space="preserve">Aplicación / geometría</t>
  </si>
  <si>
    <t xml:space="preserve">—</t>
  </si>
  <si>
    <t xml:space="preserve">Tubería (B31.3)</t>
  </si>
  <si>
    <t xml:space="preserve">Lista desplegable</t>
  </si>
  <si>
    <t xml:space="preserve">Modo (1=tubería, 2=virola, 3=cabezal)</t>
  </si>
  <si>
    <t xml:space="preserve">MODO</t>
  </si>
  <si>
    <t xml:space="preserve">Derivado del selector</t>
  </si>
  <si>
    <t xml:space="preserve">Código de construcción</t>
  </si>
  <si>
    <t xml:space="preserve">Automático</t>
  </si>
  <si>
    <t xml:space="preserve">Fuente del esfuerzo admisible</t>
  </si>
  <si>
    <t xml:space="preserve">Factor de geometría (membrana)</t>
  </si>
  <si>
    <t xml:space="preserve">kf</t>
  </si>
  <si>
    <t xml:space="preserve">Cil.=0,5 · Esfera=0,25</t>
  </si>
  <si>
    <t xml:space="preserve">1.  DATOS DE ENTRADA  (celdas azules sobre fondo amarillo = editables)</t>
  </si>
  <si>
    <t xml:space="preserve">Diámetro nominal</t>
  </si>
  <si>
    <t xml:space="preserve">NPS</t>
  </si>
  <si>
    <t xml:space="preserve">in</t>
  </si>
  <si>
    <t xml:space="preserve">Lista · B36.10M</t>
  </si>
  <si>
    <t xml:space="preserve">Cédula (Schedule)</t>
  </si>
  <si>
    <t xml:space="preserve">SCH</t>
  </si>
  <si>
    <t xml:space="preserve">Diámetro exterior</t>
  </si>
  <si>
    <t xml:space="preserve">OD</t>
  </si>
  <si>
    <t xml:space="preserve">mm</t>
  </si>
  <si>
    <t xml:space="preserve">B36.10M-2022 (auto)</t>
  </si>
  <si>
    <t xml:space="preserve">Espesor de pared</t>
  </si>
  <si>
    <t xml:space="preserve">t</t>
  </si>
  <si>
    <t xml:space="preserve">Material de tubería / envolvente</t>
  </si>
  <si>
    <t xml:space="preserve">Lista · Datos_Ref</t>
  </si>
  <si>
    <t xml:space="preserve">Material del collar / parche</t>
  </si>
  <si>
    <t xml:space="preserve">Fluido</t>
  </si>
  <si>
    <t xml:space="preserve">Agua de enfriamiento</t>
  </si>
  <si>
    <t xml:space="preserve">Temperatura de operación</t>
  </si>
  <si>
    <t xml:space="preserve">T</t>
  </si>
  <si>
    <t xml:space="preserve">°C</t>
  </si>
  <si>
    <t xml:space="preserve">Hoja de proceso</t>
  </si>
  <si>
    <t xml:space="preserve">Presión de operación</t>
  </si>
  <si>
    <t xml:space="preserve">P_op</t>
  </si>
  <si>
    <t xml:space="preserve">kg/cm²</t>
  </si>
  <si>
    <t xml:space="preserve">Presión de diseño (típica)</t>
  </si>
  <si>
    <t xml:space="preserve">P_dis</t>
  </si>
  <si>
    <t xml:space="preserve">Por confirmar</t>
  </si>
  <si>
    <t xml:space="preserve">Presión envolvente (cota superior)</t>
  </si>
  <si>
    <t xml:space="preserve">P_env</t>
  </si>
  <si>
    <t xml:space="preserve">Rating / envolvente</t>
  </si>
  <si>
    <t xml:space="preserve">Espesor del parche/collar</t>
  </si>
  <si>
    <t xml:space="preserve">T_c</t>
  </si>
  <si>
    <t xml:space="preserve">Adoptado (≥ pared)</t>
  </si>
  <si>
    <t xml:space="preserve">Altura / dimensión del parche</t>
  </si>
  <si>
    <t xml:space="preserve">H</t>
  </si>
  <si>
    <t xml:space="preserve">Del plano</t>
  </si>
  <si>
    <t xml:space="preserve">Luz radial parche–componente</t>
  </si>
  <si>
    <t xml:space="preserve">luz</t>
  </si>
  <si>
    <t xml:space="preserve">≤ 2 mm</t>
  </si>
  <si>
    <t xml:space="preserve">Cateto del filete perimetral</t>
  </si>
  <si>
    <t xml:space="preserve">w</t>
  </si>
  <si>
    <t xml:space="preserve">Adoptado</t>
  </si>
  <si>
    <t xml:space="preserve">Solape mínimo sobre metal sano</t>
  </si>
  <si>
    <t xml:space="preserve">Art. 212</t>
  </si>
  <si>
    <t xml:space="preserve">Diámetro del defecto</t>
  </si>
  <si>
    <t xml:space="preserve">d_def</t>
  </si>
  <si>
    <t xml:space="preserve">Caracterizar UT/PT</t>
  </si>
  <si>
    <t xml:space="preserve">Distancia defecto–discontinuidad</t>
  </si>
  <si>
    <t xml:space="preserve">L_def</t>
  </si>
  <si>
    <t xml:space="preserve">A cordón/boquilla</t>
  </si>
  <si>
    <t xml:space="preserve">PARÁMETROS DE CÁLCULO (constantes — editables)</t>
  </si>
  <si>
    <t xml:space="preserve">Esf. admisible del collar</t>
  </si>
  <si>
    <t xml:space="preserve">Sa_c</t>
  </si>
  <si>
    <t xml:space="preserve">MPa</t>
  </si>
  <si>
    <t xml:space="preserve">Por código · Datos_Ref</t>
  </si>
  <si>
    <t xml:space="preserve">Esf. admisible del metal base</t>
  </si>
  <si>
    <t xml:space="preserve">Sa_b</t>
  </si>
  <si>
    <t xml:space="preserve">Esf. admisible gobernante</t>
  </si>
  <si>
    <t xml:space="preserve">Sa</t>
  </si>
  <si>
    <t xml:space="preserve">menor de collar / base</t>
  </si>
  <si>
    <t xml:space="preserve">Eficiencia de junta de filete</t>
  </si>
  <si>
    <t xml:space="preserve">E</t>
  </si>
  <si>
    <t xml:space="preserve">Art. 212 ec. 4</t>
  </si>
  <si>
    <t xml:space="preserve">Factor Y (B31.3)</t>
  </si>
  <si>
    <t xml:space="preserve">Y</t>
  </si>
  <si>
    <t xml:space="preserve">B31.3 Tabla 304.1.1</t>
  </si>
  <si>
    <t xml:space="preserve">Eficiencia de junta long. (E)</t>
  </si>
  <si>
    <t xml:space="preserve">E_j</t>
  </si>
  <si>
    <t xml:space="preserve">Sin costura=1,0</t>
  </si>
  <si>
    <t xml:space="preserve">Densidad del acero</t>
  </si>
  <si>
    <t xml:space="preserve">ρ</t>
  </si>
  <si>
    <t xml:space="preserve">kg/m³</t>
  </si>
  <si>
    <t xml:space="preserve">Factor de prueba hidrostática</t>
  </si>
  <si>
    <t xml:space="preserve">B31.3 345.4.2</t>
  </si>
  <si>
    <t xml:space="preserve">Conversión de presión</t>
  </si>
  <si>
    <t xml:space="preserve">kg/cm²→MPa</t>
  </si>
  <si>
    <t xml:space="preserve">1 kg/cm²=0,0980665 MPa</t>
  </si>
  <si>
    <t xml:space="preserve">Límite de esfuerzo (excentricidad)</t>
  </si>
  <si>
    <t xml:space="preserve">1,5·Sa</t>
  </si>
  <si>
    <t xml:space="preserve">Art. 212 ec. 5</t>
  </si>
  <si>
    <t xml:space="preserve">2.  GEOMETRÍA Y PROPIEDADES DERIVADAS</t>
  </si>
  <si>
    <t xml:space="preserve">Fórmula / Referencia</t>
  </si>
  <si>
    <t xml:space="preserve">Diámetro a media pared</t>
  </si>
  <si>
    <t xml:space="preserve">Dm</t>
  </si>
  <si>
    <t xml:space="preserve">Dm = OD − t</t>
  </si>
  <si>
    <t xml:space="preserve">Radio medio</t>
  </si>
  <si>
    <t xml:space="preserve">Rm</t>
  </si>
  <si>
    <t xml:space="preserve">Rm = Dm/2</t>
  </si>
  <si>
    <t xml:space="preserve">Radio interior</t>
  </si>
  <si>
    <t xml:space="preserve">R_i</t>
  </si>
  <si>
    <t xml:space="preserve">Ri = OD/2 − t</t>
  </si>
  <si>
    <t xml:space="preserve">Excentricidad de la carga</t>
  </si>
  <si>
    <t xml:space="preserve">e</t>
  </si>
  <si>
    <t xml:space="preserve">e = (T + t)/2</t>
  </si>
  <si>
    <t xml:space="preserve">Radio de conformado (fibra media)</t>
  </si>
  <si>
    <t xml:space="preserve">Rf</t>
  </si>
  <si>
    <t xml:space="preserve">Rf = OD/2 + luz + T/2</t>
  </si>
  <si>
    <t xml:space="preserve">Coef. de esfuerzo por presión</t>
  </si>
  <si>
    <t xml:space="preserve">C_sw</t>
  </si>
  <si>
    <t xml:space="preserve">MPa/MPa</t>
  </si>
  <si>
    <t xml:space="preserve">S_w = P·C_sw</t>
  </si>
  <si>
    <t xml:space="preserve">3.  CÁLCULO DE CARGAS Y SOLDADURA  (ASME PCC-2, Art. 212)</t>
  </si>
  <si>
    <t xml:space="preserve">Operación</t>
  </si>
  <si>
    <t xml:space="preserve">Diseño típico</t>
  </si>
  <si>
    <t xml:space="preserve">Envolvente</t>
  </si>
  <si>
    <t xml:space="preserve">Referencia</t>
  </si>
  <si>
    <t xml:space="preserve">Presión evaluada</t>
  </si>
  <si>
    <t xml:space="preserve">P</t>
  </si>
  <si>
    <t xml:space="preserve">Entradas §1</t>
  </si>
  <si>
    <t xml:space="preserve">P·0,0980665</t>
  </si>
  <si>
    <t xml:space="preserve">Fuerza de membrana gobernante</t>
  </si>
  <si>
    <t xml:space="preserve">F_m</t>
  </si>
  <si>
    <t xml:space="preserve">N/mm</t>
  </si>
  <si>
    <t xml:space="preserve">ec.1: kf·P·Dm</t>
  </si>
  <si>
    <t xml:space="preserve">Filete requerido</t>
  </si>
  <si>
    <t xml:space="preserve">w_mín</t>
  </si>
  <si>
    <t xml:space="preserve">ec.4: F/(E·Sa)</t>
  </si>
  <si>
    <t xml:space="preserve">Espesor de pared requerido</t>
  </si>
  <si>
    <t xml:space="preserve">t_req</t>
  </si>
  <si>
    <t xml:space="preserve">B31.3 / VIII-1 UG-27</t>
  </si>
  <si>
    <t xml:space="preserve">Esfuerzo soldadura — membrana</t>
  </si>
  <si>
    <t xml:space="preserve">S_w,m</t>
  </si>
  <si>
    <t xml:space="preserve">ec.5 (memb.)=F/T</t>
  </si>
  <si>
    <t xml:space="preserve">Esfuerzo soldadura — flexión</t>
  </si>
  <si>
    <t xml:space="preserve">S_w,f</t>
  </si>
  <si>
    <t xml:space="preserve">ec.5 (flex.)=6F·e/T²</t>
  </si>
  <si>
    <t xml:space="preserve">Esfuerzo soldadura — total</t>
  </si>
  <si>
    <t xml:space="preserve">S_w</t>
  </si>
  <si>
    <t xml:space="preserve">ec.5: ≤ 1,5·Sa</t>
  </si>
  <si>
    <t xml:space="preserve">¿S_w ≤ 1,5·Sa?</t>
  </si>
  <si>
    <t xml:space="preserve">Verificación por presión</t>
  </si>
  <si>
    <t xml:space="preserve">4.  RESULTADOS DEL DISEÑO</t>
  </si>
  <si>
    <t xml:space="preserve">Distancia a la discontinuidad</t>
  </si>
  <si>
    <t xml:space="preserve">L_mín</t>
  </si>
  <si>
    <t xml:space="preserve">ec.3: 2·√(Rm·t)</t>
  </si>
  <si>
    <t xml:space="preserve">Presión máx. admisible del parche</t>
  </si>
  <si>
    <t xml:space="preserve">P_máx</t>
  </si>
  <si>
    <t xml:space="preserve">1,5·Sa / C_sw</t>
  </si>
  <si>
    <t xml:space="preserve">Margen sobre la operación</t>
  </si>
  <si>
    <t xml:space="preserve">×</t>
  </si>
  <si>
    <t xml:space="preserve">P_máx / P_op</t>
  </si>
  <si>
    <t xml:space="preserve">Deformación por conformado</t>
  </si>
  <si>
    <t xml:space="preserve">%</t>
  </si>
  <si>
    <t xml:space="preserve">ec.7: 50·T/Rf ≤ 5%</t>
  </si>
  <si>
    <t xml:space="preserve">Desarrollo por media carcasa</t>
  </si>
  <si>
    <t xml:space="preserve">L</t>
  </si>
  <si>
    <t xml:space="preserve">(π/2)·(OD+2·luz+e)</t>
  </si>
  <si>
    <t xml:space="preserve">Longitud de corte (media carcasa)</t>
  </si>
  <si>
    <t xml:space="preserve">menos luz de raíz</t>
  </si>
  <si>
    <t xml:space="preserve">Peso del parche/collar</t>
  </si>
  <si>
    <t xml:space="preserve">kg</t>
  </si>
  <si>
    <t xml:space="preserve">2·L·H·T·ρ</t>
  </si>
  <si>
    <t xml:space="preserve">5.  VERIFICACIONES  (criterios de aceptación)</t>
  </si>
  <si>
    <t xml:space="preserve">Verificación</t>
  </si>
  <si>
    <t xml:space="preserve">Requerido</t>
  </si>
  <si>
    <t xml:space="preserve">Resultado</t>
  </si>
  <si>
    <t xml:space="preserve">Criterio</t>
  </si>
  <si>
    <t xml:space="preserve">Filete perimetral (cateto)</t>
  </si>
  <si>
    <t xml:space="preserve">w ≥ w_mín (envolvente)</t>
  </si>
  <si>
    <t xml:space="preserve">Excentricidad de la soldadura (diseño)</t>
  </si>
  <si>
    <t xml:space="preserve">S_w(diseño) ≤ 1,5·Sa</t>
  </si>
  <si>
    <t xml:space="preserve">Conformado en frío</t>
  </si>
  <si>
    <t xml:space="preserve">≤ 5 % (ec. 7)</t>
  </si>
  <si>
    <t xml:space="preserve">Espesor de pared (envolvente)</t>
  </si>
  <si>
    <t xml:space="preserve">t ≥ t_req</t>
  </si>
  <si>
    <t xml:space="preserve">Ubicación del defecto</t>
  </si>
  <si>
    <t xml:space="preserve">L_def vs L_mín</t>
  </si>
  <si>
    <t xml:space="preserve">Presión de diseño vs. parche</t>
  </si>
  <si>
    <t xml:space="preserve">P_dis ≤ P_máx del parche</t>
  </si>
  <si>
    <t xml:space="preserve">DICTAMEN GLOBAL DEL DISEÑO</t>
  </si>
  <si>
    <t xml:space="preserve">6.  ESPECIFICACIONES TÉCNICAS  (generadas automáticamente a partir de las entradas)</t>
  </si>
  <si>
    <t xml:space="preserve">Método</t>
  </si>
  <si>
    <t xml:space="preserve">Juntas de cierre</t>
  </si>
  <si>
    <t xml:space="preserve">Filetes perimetrales</t>
  </si>
  <si>
    <t xml:space="preserve">Soldadura en servicio (Art. 210)</t>
  </si>
  <si>
    <t xml:space="preserve">Ensayos no destructivos</t>
  </si>
  <si>
    <t xml:space="preserve">Recubrimiento (ejemplo Repsol)</t>
  </si>
  <si>
    <t xml:space="preserve">Prueba de hermeticidad</t>
  </si>
  <si>
    <t xml:space="preserve">Herramienta de ingeniería de referencia. Verificar entradas y resultados; complementar con WPS/PQR, ATS/JSA y registros del propietario. Cálculos según ASME PCC-2-2022 (Art. 212/206), ASME B31.3 y ASME BPVC VIII-1.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</si>
</sst>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.0000000"/>
    <numFmt numFmtId="169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7A7A7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0000C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D7C7C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304F"/>
        <bgColor rgb="FF1A1A1A"/>
      </patternFill>
    </fill>
    <fill>
      <patternFill patternType="solid">
        <fgColor rgb="FF305496"/>
        <bgColor rgb="FF1F4E79"/>
      </patternFill>
    </fill>
    <fill>
      <patternFill patternType="solid">
        <fgColor rgb="FFF3F6FA"/>
        <bgColor rgb="FFFFFFFF"/>
      </patternFill>
    </fill>
    <fill>
      <patternFill patternType="solid">
        <fgColor rgb="FFFFFFFF"/>
        <bgColor rgb="FFF3F6FA"/>
      </patternFill>
    </fill>
    <fill>
      <patternFill patternType="solid">
        <fgColor rgb="FFDDE6F0"/>
        <bgColor rgb="FFE2EFDA"/>
      </patternFill>
    </fill>
    <fill>
      <patternFill patternType="solid">
        <fgColor rgb="FF1F4E79"/>
        <bgColor rgb="FF305496"/>
      </patternFill>
    </fill>
    <fill>
      <patternFill patternType="solid">
        <fgColor rgb="FFFFF7DC"/>
        <bgColor rgb="FFF3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0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  <sz val="9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C00000"/>
        <sz val="11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107C41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107C41"/>
        <sz val="12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C7C"/>
      <rgbColor rgb="FFBFC9D4"/>
      <rgbColor rgb="FF7A7A7A"/>
      <rgbColor rgb="FF9999FF"/>
      <rgbColor rgb="FF993366"/>
      <rgbColor rgb="FFFFF7DC"/>
      <rgbColor rgb="FFDDE6F0"/>
      <rgbColor rgb="FF660066"/>
      <rgbColor rgb="FFFF8080"/>
      <rgbColor rgb="FF1F4E79"/>
      <rgbColor rgb="FFCCCCFF"/>
      <rgbColor rgb="FF000080"/>
      <rgbColor rgb="FFFF00FF"/>
      <rgbColor rgb="FFFFFF00"/>
      <rgbColor rgb="FF00FFFF"/>
      <rgbColor rgb="FF800080"/>
      <rgbColor rgb="FF800000"/>
      <rgbColor rgb="FF107C41"/>
      <rgbColor rgb="FF0000FF"/>
      <rgbColor rgb="FF00CCFF"/>
      <rgbColor rgb="FFF3F6FA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04F"/>
      <rgbColor rgb="FF339966"/>
      <rgbColor rgb="FF003300"/>
      <rgbColor rgb="FF333300"/>
      <rgbColor rgb="FF993300"/>
      <rgbColor rgb="FF993366"/>
      <rgbColor rgb="FF30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5"/>
    <col collapsed="false" customWidth="true" hidden="false" outlineLevel="0" max="4" min="4" style="0" width="2"/>
  </cols>
  <sheetData>
    <row r="2" customFormat="false" ht="17.35" hidden="false" customHeight="true" outlineLevel="0" collapsed="false">
      <c r="B2" s="1" t="s">
        <v>0</v>
      </c>
      <c r="C2" s="1"/>
    </row>
    <row r="3" customFormat="false" ht="22.35" hidden="false" customHeight="true" outlineLevel="0" collapsed="false">
      <c r="B3" s="2" t="s">
        <v>1</v>
      </c>
      <c r="C3" s="2"/>
    </row>
    <row r="5" customFormat="false" ht="72" hidden="false" customHeight="true" outlineLevel="0" collapsed="false">
      <c r="B5" s="3" t="s">
        <v>2</v>
      </c>
      <c r="C5" s="4" t="s">
        <v>3</v>
      </c>
    </row>
    <row r="6" customFormat="false" ht="87" hidden="false" customHeight="true" outlineLevel="0" collapsed="false">
      <c r="B6" s="3" t="s">
        <v>4</v>
      </c>
      <c r="C6" s="5" t="s">
        <v>5</v>
      </c>
    </row>
    <row r="7" customFormat="false" ht="117" hidden="false" customHeight="true" outlineLevel="0" collapsed="false">
      <c r="B7" s="3" t="s">
        <v>6</v>
      </c>
      <c r="C7" s="4" t="s">
        <v>7</v>
      </c>
    </row>
    <row r="8" customFormat="false" ht="72" hidden="false" customHeight="true" outlineLevel="0" collapsed="false">
      <c r="B8" s="3" t="s">
        <v>8</v>
      </c>
      <c r="C8" s="5" t="s">
        <v>9</v>
      </c>
    </row>
    <row r="9" customFormat="false" ht="42" hidden="false" customHeight="true" outlineLevel="0" collapsed="false">
      <c r="B9" s="3" t="s">
        <v>10</v>
      </c>
      <c r="C9" s="4" t="s">
        <v>11</v>
      </c>
    </row>
    <row r="10" customFormat="false" ht="42" hidden="false" customHeight="true" outlineLevel="0" collapsed="false">
      <c r="B10" s="3" t="s">
        <v>12</v>
      </c>
      <c r="C10" s="5" t="s">
        <v>13</v>
      </c>
    </row>
    <row r="11" customFormat="false" ht="42" hidden="false" customHeight="true" outlineLevel="0" collapsed="false">
      <c r="B11" s="3" t="s">
        <v>14</v>
      </c>
      <c r="C11" s="4" t="s">
        <v>15</v>
      </c>
    </row>
    <row r="12" customFormat="false" ht="42" hidden="false" customHeight="true" outlineLevel="0" collapsed="false">
      <c r="B12" s="3" t="s">
        <v>16</v>
      </c>
      <c r="C12" s="5" t="s">
        <v>17</v>
      </c>
    </row>
    <row r="13" customFormat="false" ht="72" hidden="false" customHeight="true" outlineLevel="0" collapsed="false">
      <c r="B13" s="3" t="s">
        <v>18</v>
      </c>
      <c r="C13" s="4" t="s">
        <v>19</v>
      </c>
    </row>
    <row r="14" customFormat="false" ht="57" hidden="false" customHeight="true" outlineLevel="0" collapsed="false">
      <c r="B14" s="3" t="s">
        <v>20</v>
      </c>
      <c r="C14" s="5" t="s">
        <v>21</v>
      </c>
    </row>
  </sheetData>
  <sheetProtection sheet="true" password="cc6f" formatCells="false" sort="false" autoFilter="false"/>
  <mergeCells count="2">
    <mergeCell ref="B2:C2"/>
    <mergeCell ref="B3:C3"/>
  </mergeCells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16" min="3" style="0" width="7.5"/>
  </cols>
  <sheetData>
    <row r="1" customFormat="false" ht="16.15" hidden="false" customHeight="true" outlineLevel="0" collapsed="false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true" outlineLevel="0" collapsed="false">
      <c r="A2" s="7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tru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customFormat="false" ht="15" hidden="false" customHeight="false" outlineLevel="0" collapsed="false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s="9" t="s">
        <v>38</v>
      </c>
      <c r="O4" s="9" t="s">
        <v>39</v>
      </c>
      <c r="P4" s="9" t="s">
        <v>40</v>
      </c>
    </row>
    <row r="5" customFormat="false" ht="15" hidden="false" customHeight="false" outlineLevel="0" collapsed="false">
      <c r="A5" s="10" t="n">
        <v>0.5</v>
      </c>
      <c r="B5" s="11" t="n">
        <v>21.3</v>
      </c>
      <c r="C5" s="12" t="n">
        <v>1.65</v>
      </c>
      <c r="D5" s="12" t="n">
        <v>2.11</v>
      </c>
      <c r="E5" s="13"/>
      <c r="F5" s="13"/>
      <c r="G5" s="12" t="n">
        <v>2.77</v>
      </c>
      <c r="H5" s="13"/>
      <c r="I5" s="12" t="n">
        <v>3.73</v>
      </c>
      <c r="J5" s="13"/>
      <c r="K5" s="13"/>
      <c r="L5" s="13"/>
      <c r="M5" s="12" t="n">
        <v>4.78</v>
      </c>
      <c r="N5" s="12" t="n">
        <v>2.77</v>
      </c>
      <c r="O5" s="12" t="n">
        <v>3.73</v>
      </c>
      <c r="P5" s="12" t="n">
        <v>7.47</v>
      </c>
    </row>
    <row r="6" customFormat="false" ht="15" hidden="false" customHeight="false" outlineLevel="0" collapsed="false">
      <c r="A6" s="14" t="n">
        <v>0.75</v>
      </c>
      <c r="B6" s="15" t="n">
        <v>26.7</v>
      </c>
      <c r="C6" s="16" t="n">
        <v>1.65</v>
      </c>
      <c r="D6" s="16" t="n">
        <v>2.11</v>
      </c>
      <c r="E6" s="17"/>
      <c r="F6" s="17"/>
      <c r="G6" s="16" t="n">
        <v>2.87</v>
      </c>
      <c r="H6" s="17"/>
      <c r="I6" s="16" t="n">
        <v>3.91</v>
      </c>
      <c r="J6" s="17"/>
      <c r="K6" s="17"/>
      <c r="L6" s="17"/>
      <c r="M6" s="16" t="n">
        <v>5.56</v>
      </c>
      <c r="N6" s="16" t="n">
        <v>2.87</v>
      </c>
      <c r="O6" s="16" t="n">
        <v>3.91</v>
      </c>
      <c r="P6" s="16" t="n">
        <v>7.82</v>
      </c>
    </row>
    <row r="7" customFormat="false" ht="15" hidden="false" customHeight="false" outlineLevel="0" collapsed="false">
      <c r="A7" s="10" t="n">
        <v>1</v>
      </c>
      <c r="B7" s="11" t="n">
        <v>33.4</v>
      </c>
      <c r="C7" s="12" t="n">
        <v>1.65</v>
      </c>
      <c r="D7" s="12" t="n">
        <v>2.77</v>
      </c>
      <c r="E7" s="13"/>
      <c r="F7" s="13"/>
      <c r="G7" s="12" t="n">
        <v>3.38</v>
      </c>
      <c r="H7" s="13"/>
      <c r="I7" s="12" t="n">
        <v>4.55</v>
      </c>
      <c r="J7" s="13"/>
      <c r="K7" s="13"/>
      <c r="L7" s="13"/>
      <c r="M7" s="12" t="n">
        <v>6.35</v>
      </c>
      <c r="N7" s="12" t="n">
        <v>3.38</v>
      </c>
      <c r="O7" s="12" t="n">
        <v>4.55</v>
      </c>
      <c r="P7" s="12" t="n">
        <v>9.09</v>
      </c>
    </row>
    <row r="8" customFormat="false" ht="15" hidden="false" customHeight="false" outlineLevel="0" collapsed="false">
      <c r="A8" s="14" t="n">
        <v>1.25</v>
      </c>
      <c r="B8" s="15" t="n">
        <v>42.2</v>
      </c>
      <c r="C8" s="16" t="n">
        <v>1.65</v>
      </c>
      <c r="D8" s="16" t="n">
        <v>2.77</v>
      </c>
      <c r="E8" s="17"/>
      <c r="F8" s="17"/>
      <c r="G8" s="16" t="n">
        <v>3.56</v>
      </c>
      <c r="H8" s="17"/>
      <c r="I8" s="16" t="n">
        <v>4.85</v>
      </c>
      <c r="J8" s="17"/>
      <c r="K8" s="17"/>
      <c r="L8" s="17"/>
      <c r="M8" s="16" t="n">
        <v>6.35</v>
      </c>
      <c r="N8" s="16" t="n">
        <v>3.56</v>
      </c>
      <c r="O8" s="16" t="n">
        <v>4.85</v>
      </c>
      <c r="P8" s="16" t="n">
        <v>9.7</v>
      </c>
    </row>
    <row r="9" customFormat="false" ht="15" hidden="false" customHeight="false" outlineLevel="0" collapsed="false">
      <c r="A9" s="10" t="n">
        <v>1.5</v>
      </c>
      <c r="B9" s="11" t="n">
        <v>48.3</v>
      </c>
      <c r="C9" s="12" t="n">
        <v>1.65</v>
      </c>
      <c r="D9" s="12" t="n">
        <v>2.77</v>
      </c>
      <c r="E9" s="13"/>
      <c r="F9" s="13"/>
      <c r="G9" s="12" t="n">
        <v>3.68</v>
      </c>
      <c r="H9" s="13"/>
      <c r="I9" s="12" t="n">
        <v>5.08</v>
      </c>
      <c r="J9" s="13"/>
      <c r="K9" s="13"/>
      <c r="L9" s="13"/>
      <c r="M9" s="12" t="n">
        <v>7.14</v>
      </c>
      <c r="N9" s="12" t="n">
        <v>3.68</v>
      </c>
      <c r="O9" s="12" t="n">
        <v>5.08</v>
      </c>
      <c r="P9" s="12" t="n">
        <v>10.15</v>
      </c>
    </row>
    <row r="10" customFormat="false" ht="15" hidden="false" customHeight="false" outlineLevel="0" collapsed="false">
      <c r="A10" s="14" t="n">
        <v>2</v>
      </c>
      <c r="B10" s="15" t="n">
        <v>60.3</v>
      </c>
      <c r="C10" s="16" t="n">
        <v>1.65</v>
      </c>
      <c r="D10" s="16" t="n">
        <v>2.77</v>
      </c>
      <c r="E10" s="17"/>
      <c r="F10" s="17"/>
      <c r="G10" s="16" t="n">
        <v>3.91</v>
      </c>
      <c r="H10" s="17"/>
      <c r="I10" s="16" t="n">
        <v>5.54</v>
      </c>
      <c r="J10" s="17"/>
      <c r="K10" s="17"/>
      <c r="L10" s="17"/>
      <c r="M10" s="16" t="n">
        <v>8.74</v>
      </c>
      <c r="N10" s="16" t="n">
        <v>3.91</v>
      </c>
      <c r="O10" s="16" t="n">
        <v>5.54</v>
      </c>
      <c r="P10" s="16" t="n">
        <v>11.07</v>
      </c>
    </row>
    <row r="11" customFormat="false" ht="15" hidden="false" customHeight="false" outlineLevel="0" collapsed="false">
      <c r="A11" s="10" t="n">
        <v>2.5</v>
      </c>
      <c r="B11" s="11" t="n">
        <v>73</v>
      </c>
      <c r="C11" s="12" t="n">
        <v>2.11</v>
      </c>
      <c r="D11" s="12" t="n">
        <v>3.05</v>
      </c>
      <c r="E11" s="13"/>
      <c r="F11" s="13"/>
      <c r="G11" s="12" t="n">
        <v>5.16</v>
      </c>
      <c r="H11" s="13"/>
      <c r="I11" s="12" t="n">
        <v>7.01</v>
      </c>
      <c r="J11" s="13"/>
      <c r="K11" s="13"/>
      <c r="L11" s="13"/>
      <c r="M11" s="12" t="n">
        <v>9.53</v>
      </c>
      <c r="N11" s="12" t="n">
        <v>5.16</v>
      </c>
      <c r="O11" s="12" t="n">
        <v>7.01</v>
      </c>
      <c r="P11" s="12" t="n">
        <v>14.02</v>
      </c>
    </row>
    <row r="12" customFormat="false" ht="15" hidden="false" customHeight="false" outlineLevel="0" collapsed="false">
      <c r="A12" s="14" t="n">
        <v>3</v>
      </c>
      <c r="B12" s="15" t="n">
        <v>88.9</v>
      </c>
      <c r="C12" s="16" t="n">
        <v>2.11</v>
      </c>
      <c r="D12" s="16" t="n">
        <v>3.05</v>
      </c>
      <c r="E12" s="17"/>
      <c r="F12" s="17"/>
      <c r="G12" s="16" t="n">
        <v>5.49</v>
      </c>
      <c r="H12" s="17"/>
      <c r="I12" s="16" t="n">
        <v>7.62</v>
      </c>
      <c r="J12" s="17"/>
      <c r="K12" s="17"/>
      <c r="L12" s="17"/>
      <c r="M12" s="16" t="n">
        <v>11.13</v>
      </c>
      <c r="N12" s="16" t="n">
        <v>5.49</v>
      </c>
      <c r="O12" s="16" t="n">
        <v>7.62</v>
      </c>
      <c r="P12" s="16" t="n">
        <v>15.24</v>
      </c>
    </row>
    <row r="13" customFormat="false" ht="15" hidden="false" customHeight="false" outlineLevel="0" collapsed="false">
      <c r="A13" s="10" t="n">
        <v>3.5</v>
      </c>
      <c r="B13" s="11" t="n">
        <v>101.6</v>
      </c>
      <c r="C13" s="12" t="n">
        <v>2.11</v>
      </c>
      <c r="D13" s="12" t="n">
        <v>3.05</v>
      </c>
      <c r="E13" s="13"/>
      <c r="F13" s="13"/>
      <c r="G13" s="12" t="n">
        <v>5.74</v>
      </c>
      <c r="H13" s="13"/>
      <c r="I13" s="12" t="n">
        <v>8.08</v>
      </c>
      <c r="J13" s="13"/>
      <c r="K13" s="13"/>
      <c r="L13" s="13"/>
      <c r="M13" s="13"/>
      <c r="N13" s="12" t="n">
        <v>5.74</v>
      </c>
      <c r="O13" s="12" t="n">
        <v>8.08</v>
      </c>
      <c r="P13" s="13"/>
    </row>
    <row r="14" customFormat="false" ht="15" hidden="false" customHeight="false" outlineLevel="0" collapsed="false">
      <c r="A14" s="14" t="n">
        <v>4</v>
      </c>
      <c r="B14" s="15" t="n">
        <v>114.3</v>
      </c>
      <c r="C14" s="16" t="n">
        <v>2.11</v>
      </c>
      <c r="D14" s="16" t="n">
        <v>3.05</v>
      </c>
      <c r="E14" s="17"/>
      <c r="F14" s="17"/>
      <c r="G14" s="16" t="n">
        <v>6.02</v>
      </c>
      <c r="H14" s="17"/>
      <c r="I14" s="16" t="n">
        <v>8.56</v>
      </c>
      <c r="J14" s="17"/>
      <c r="K14" s="16" t="n">
        <v>11.13</v>
      </c>
      <c r="L14" s="17"/>
      <c r="M14" s="16" t="n">
        <v>13.49</v>
      </c>
      <c r="N14" s="16" t="n">
        <v>6.02</v>
      </c>
      <c r="O14" s="16" t="n">
        <v>8.56</v>
      </c>
      <c r="P14" s="16" t="n">
        <v>17.12</v>
      </c>
    </row>
    <row r="15" customFormat="false" ht="15" hidden="false" customHeight="false" outlineLevel="0" collapsed="false">
      <c r="A15" s="10" t="n">
        <v>5</v>
      </c>
      <c r="B15" s="11" t="n">
        <v>141.3</v>
      </c>
      <c r="C15" s="12" t="n">
        <v>2.77</v>
      </c>
      <c r="D15" s="12" t="n">
        <v>3.4</v>
      </c>
      <c r="E15" s="13"/>
      <c r="F15" s="13"/>
      <c r="G15" s="12" t="n">
        <v>6.55</v>
      </c>
      <c r="H15" s="13"/>
      <c r="I15" s="12" t="n">
        <v>9.53</v>
      </c>
      <c r="J15" s="13"/>
      <c r="K15" s="12" t="n">
        <v>12.7</v>
      </c>
      <c r="L15" s="13"/>
      <c r="M15" s="12" t="n">
        <v>15.88</v>
      </c>
      <c r="N15" s="12" t="n">
        <v>6.55</v>
      </c>
      <c r="O15" s="12" t="n">
        <v>9.53</v>
      </c>
      <c r="P15" s="12" t="n">
        <v>19.05</v>
      </c>
    </row>
    <row r="16" customFormat="false" ht="15" hidden="false" customHeight="false" outlineLevel="0" collapsed="false">
      <c r="A16" s="14" t="n">
        <v>6</v>
      </c>
      <c r="B16" s="15" t="n">
        <v>168.3</v>
      </c>
      <c r="C16" s="16" t="n">
        <v>2.77</v>
      </c>
      <c r="D16" s="16" t="n">
        <v>3.4</v>
      </c>
      <c r="E16" s="17"/>
      <c r="F16" s="17"/>
      <c r="G16" s="16" t="n">
        <v>7.11</v>
      </c>
      <c r="H16" s="17"/>
      <c r="I16" s="16" t="n">
        <v>10.97</v>
      </c>
      <c r="J16" s="17"/>
      <c r="K16" s="16" t="n">
        <v>14.27</v>
      </c>
      <c r="L16" s="17"/>
      <c r="M16" s="16" t="n">
        <v>18.26</v>
      </c>
      <c r="N16" s="16" t="n">
        <v>7.11</v>
      </c>
      <c r="O16" s="16" t="n">
        <v>10.97</v>
      </c>
      <c r="P16" s="16" t="n">
        <v>21.95</v>
      </c>
    </row>
    <row r="17" customFormat="false" ht="15" hidden="false" customHeight="false" outlineLevel="0" collapsed="false">
      <c r="A17" s="10" t="n">
        <v>8</v>
      </c>
      <c r="B17" s="11" t="n">
        <v>219.1</v>
      </c>
      <c r="C17" s="12" t="n">
        <v>2.77</v>
      </c>
      <c r="D17" s="12" t="n">
        <v>3.76</v>
      </c>
      <c r="E17" s="12" t="n">
        <v>6.35</v>
      </c>
      <c r="F17" s="12" t="n">
        <v>7.04</v>
      </c>
      <c r="G17" s="12" t="n">
        <v>8.18</v>
      </c>
      <c r="H17" s="12" t="n">
        <v>10.31</v>
      </c>
      <c r="I17" s="12" t="n">
        <v>12.7</v>
      </c>
      <c r="J17" s="12" t="n">
        <v>15.09</v>
      </c>
      <c r="K17" s="12" t="n">
        <v>18.26</v>
      </c>
      <c r="L17" s="12" t="n">
        <v>20.62</v>
      </c>
      <c r="M17" s="12" t="n">
        <v>23.01</v>
      </c>
      <c r="N17" s="12" t="n">
        <v>8.18</v>
      </c>
      <c r="O17" s="12" t="n">
        <v>12.7</v>
      </c>
      <c r="P17" s="12" t="n">
        <v>22.23</v>
      </c>
    </row>
    <row r="18" customFormat="false" ht="15" hidden="false" customHeight="false" outlineLevel="0" collapsed="false">
      <c r="A18" s="14" t="n">
        <v>10</v>
      </c>
      <c r="B18" s="15" t="n">
        <v>273</v>
      </c>
      <c r="C18" s="16" t="n">
        <v>3.4</v>
      </c>
      <c r="D18" s="16" t="n">
        <v>4.19</v>
      </c>
      <c r="E18" s="16" t="n">
        <v>6.35</v>
      </c>
      <c r="F18" s="16" t="n">
        <v>7.8</v>
      </c>
      <c r="G18" s="16" t="n">
        <v>9.27</v>
      </c>
      <c r="H18" s="16" t="n">
        <v>12.7</v>
      </c>
      <c r="I18" s="16" t="n">
        <v>15.09</v>
      </c>
      <c r="J18" s="16" t="n">
        <v>18.26</v>
      </c>
      <c r="K18" s="16" t="n">
        <v>21.44</v>
      </c>
      <c r="L18" s="16" t="n">
        <v>25.4</v>
      </c>
      <c r="M18" s="16" t="n">
        <v>28.58</v>
      </c>
      <c r="N18" s="16" t="n">
        <v>9.27</v>
      </c>
      <c r="O18" s="16" t="n">
        <v>12.7</v>
      </c>
      <c r="P18" s="16" t="n">
        <v>25.4</v>
      </c>
    </row>
    <row r="19" customFormat="false" ht="15" hidden="false" customHeight="false" outlineLevel="0" collapsed="false">
      <c r="A19" s="10" t="n">
        <v>12</v>
      </c>
      <c r="B19" s="11" t="n">
        <v>323.8</v>
      </c>
      <c r="C19" s="12" t="n">
        <v>3.96</v>
      </c>
      <c r="D19" s="12" t="n">
        <v>4.57</v>
      </c>
      <c r="E19" s="12" t="n">
        <v>6.35</v>
      </c>
      <c r="F19" s="12" t="n">
        <v>8.38</v>
      </c>
      <c r="G19" s="12" t="n">
        <v>10.31</v>
      </c>
      <c r="H19" s="12" t="n">
        <v>14.27</v>
      </c>
      <c r="I19" s="12" t="n">
        <v>17.48</v>
      </c>
      <c r="J19" s="12" t="n">
        <v>21.44</v>
      </c>
      <c r="K19" s="12" t="n">
        <v>25.4</v>
      </c>
      <c r="L19" s="12" t="n">
        <v>28.58</v>
      </c>
      <c r="M19" s="12" t="n">
        <v>33.32</v>
      </c>
      <c r="N19" s="12" t="n">
        <v>9.53</v>
      </c>
      <c r="O19" s="12" t="n">
        <v>12.7</v>
      </c>
      <c r="P19" s="12" t="n">
        <v>25.4</v>
      </c>
    </row>
    <row r="20" customFormat="false" ht="15" hidden="false" customHeight="false" outlineLevel="0" collapsed="false">
      <c r="A20" s="14" t="n">
        <v>14</v>
      </c>
      <c r="B20" s="15" t="n">
        <v>355.6</v>
      </c>
      <c r="C20" s="16" t="n">
        <v>3.96</v>
      </c>
      <c r="D20" s="16" t="n">
        <v>6.35</v>
      </c>
      <c r="E20" s="16" t="n">
        <v>7.92</v>
      </c>
      <c r="F20" s="16" t="n">
        <v>9.53</v>
      </c>
      <c r="G20" s="16" t="n">
        <v>11.13</v>
      </c>
      <c r="H20" s="16" t="n">
        <v>15.09</v>
      </c>
      <c r="I20" s="16" t="n">
        <v>19.05</v>
      </c>
      <c r="J20" s="16" t="n">
        <v>23.83</v>
      </c>
      <c r="K20" s="16" t="n">
        <v>27.79</v>
      </c>
      <c r="L20" s="16" t="n">
        <v>31.75</v>
      </c>
      <c r="M20" s="16" t="n">
        <v>35.71</v>
      </c>
      <c r="N20" s="16" t="n">
        <v>9.53</v>
      </c>
      <c r="O20" s="16" t="n">
        <v>12.7</v>
      </c>
      <c r="P20" s="17"/>
    </row>
    <row r="21" customFormat="false" ht="15" hidden="false" customHeight="false" outlineLevel="0" collapsed="false">
      <c r="A21" s="10" t="n">
        <v>16</v>
      </c>
      <c r="B21" s="11" t="n">
        <v>406.4</v>
      </c>
      <c r="C21" s="12" t="n">
        <v>4.19</v>
      </c>
      <c r="D21" s="12" t="n">
        <v>6.35</v>
      </c>
      <c r="E21" s="12" t="n">
        <v>7.92</v>
      </c>
      <c r="F21" s="12" t="n">
        <v>9.53</v>
      </c>
      <c r="G21" s="12" t="n">
        <v>12.7</v>
      </c>
      <c r="H21" s="12" t="n">
        <v>16.66</v>
      </c>
      <c r="I21" s="12" t="n">
        <v>21.44</v>
      </c>
      <c r="J21" s="12" t="n">
        <v>26.19</v>
      </c>
      <c r="K21" s="12" t="n">
        <v>30.96</v>
      </c>
      <c r="L21" s="12" t="n">
        <v>36.53</v>
      </c>
      <c r="M21" s="12" t="n">
        <v>40.49</v>
      </c>
      <c r="N21" s="12" t="n">
        <v>9.53</v>
      </c>
      <c r="O21" s="12" t="n">
        <v>12.7</v>
      </c>
      <c r="P21" s="13"/>
    </row>
    <row r="22" customFormat="false" ht="15" hidden="false" customHeight="false" outlineLevel="0" collapsed="false">
      <c r="A22" s="14" t="n">
        <v>18</v>
      </c>
      <c r="B22" s="15" t="n">
        <v>457.2</v>
      </c>
      <c r="C22" s="16" t="n">
        <v>4.19</v>
      </c>
      <c r="D22" s="16" t="n">
        <v>6.35</v>
      </c>
      <c r="E22" s="16" t="n">
        <v>7.92</v>
      </c>
      <c r="F22" s="16" t="n">
        <v>11.13</v>
      </c>
      <c r="G22" s="16" t="n">
        <v>14.27</v>
      </c>
      <c r="H22" s="16" t="n">
        <v>19.05</v>
      </c>
      <c r="I22" s="16" t="n">
        <v>23.83</v>
      </c>
      <c r="J22" s="16" t="n">
        <v>29.36</v>
      </c>
      <c r="K22" s="16" t="n">
        <v>34.92</v>
      </c>
      <c r="L22" s="16" t="n">
        <v>39.67</v>
      </c>
      <c r="M22" s="16" t="n">
        <v>45.24</v>
      </c>
      <c r="N22" s="16" t="n">
        <v>9.53</v>
      </c>
      <c r="O22" s="16" t="n">
        <v>12.7</v>
      </c>
      <c r="P22" s="17"/>
    </row>
    <row r="23" customFormat="false" ht="15" hidden="false" customHeight="false" outlineLevel="0" collapsed="false">
      <c r="A23" s="10" t="n">
        <v>20</v>
      </c>
      <c r="B23" s="11" t="n">
        <v>508</v>
      </c>
      <c r="C23" s="12" t="n">
        <v>4.78</v>
      </c>
      <c r="D23" s="12" t="n">
        <v>6.35</v>
      </c>
      <c r="E23" s="12" t="n">
        <v>9.53</v>
      </c>
      <c r="F23" s="12" t="n">
        <v>12.7</v>
      </c>
      <c r="G23" s="12" t="n">
        <v>15.09</v>
      </c>
      <c r="H23" s="12" t="n">
        <v>20.62</v>
      </c>
      <c r="I23" s="12" t="n">
        <v>26.19</v>
      </c>
      <c r="J23" s="12" t="n">
        <v>32.54</v>
      </c>
      <c r="K23" s="12" t="n">
        <v>38.1</v>
      </c>
      <c r="L23" s="12" t="n">
        <v>44.45</v>
      </c>
      <c r="M23" s="12" t="n">
        <v>50.01</v>
      </c>
      <c r="N23" s="12" t="n">
        <v>9.53</v>
      </c>
      <c r="O23" s="12" t="n">
        <v>12.7</v>
      </c>
      <c r="P23" s="13"/>
    </row>
    <row r="24" customFormat="false" ht="15" hidden="false" customHeight="false" outlineLevel="0" collapsed="false">
      <c r="A24" s="14" t="n">
        <v>22</v>
      </c>
      <c r="B24" s="15" t="n">
        <v>558.8</v>
      </c>
      <c r="C24" s="16" t="n">
        <v>4.78</v>
      </c>
      <c r="D24" s="16" t="n">
        <v>6.35</v>
      </c>
      <c r="E24" s="16" t="n">
        <v>9.53</v>
      </c>
      <c r="F24" s="16" t="n">
        <v>12.7</v>
      </c>
      <c r="G24" s="17"/>
      <c r="H24" s="16" t="n">
        <v>22.23</v>
      </c>
      <c r="I24" s="16" t="n">
        <v>28.58</v>
      </c>
      <c r="J24" s="16" t="n">
        <v>34.92</v>
      </c>
      <c r="K24" s="16" t="n">
        <v>41.28</v>
      </c>
      <c r="L24" s="16" t="n">
        <v>47.62</v>
      </c>
      <c r="M24" s="16" t="n">
        <v>53.98</v>
      </c>
      <c r="N24" s="16" t="n">
        <v>9.53</v>
      </c>
      <c r="O24" s="16" t="n">
        <v>12.7</v>
      </c>
      <c r="P24" s="17"/>
    </row>
    <row r="25" customFormat="false" ht="15" hidden="false" customHeight="false" outlineLevel="0" collapsed="false">
      <c r="A25" s="10" t="n">
        <v>24</v>
      </c>
      <c r="B25" s="11" t="n">
        <v>609.6</v>
      </c>
      <c r="C25" s="12" t="n">
        <v>5.54</v>
      </c>
      <c r="D25" s="12" t="n">
        <v>6.35</v>
      </c>
      <c r="E25" s="12" t="n">
        <v>9.53</v>
      </c>
      <c r="F25" s="12" t="n">
        <v>14.27</v>
      </c>
      <c r="G25" s="12" t="n">
        <v>17.48</v>
      </c>
      <c r="H25" s="12" t="n">
        <v>24.61</v>
      </c>
      <c r="I25" s="12" t="n">
        <v>30.96</v>
      </c>
      <c r="J25" s="12" t="n">
        <v>38.89</v>
      </c>
      <c r="K25" s="12" t="n">
        <v>46.02</v>
      </c>
      <c r="L25" s="12" t="n">
        <v>52.37</v>
      </c>
      <c r="M25" s="12" t="n">
        <v>59.54</v>
      </c>
      <c r="N25" s="12" t="n">
        <v>9.53</v>
      </c>
      <c r="O25" s="12" t="n">
        <v>12.7</v>
      </c>
      <c r="P25" s="13"/>
    </row>
    <row r="26" customFormat="false" ht="15" hidden="false" customHeight="false" outlineLevel="0" collapsed="false">
      <c r="A26" s="14" t="n">
        <v>26</v>
      </c>
      <c r="B26" s="15" t="n">
        <v>660.4</v>
      </c>
      <c r="C26" s="17"/>
      <c r="D26" s="16" t="n">
        <v>7.92</v>
      </c>
      <c r="E26" s="16" t="n">
        <v>12.7</v>
      </c>
      <c r="F26" s="17"/>
      <c r="G26" s="17"/>
      <c r="H26" s="17"/>
      <c r="I26" s="17"/>
      <c r="J26" s="17"/>
      <c r="K26" s="17"/>
      <c r="L26" s="17"/>
      <c r="M26" s="17"/>
      <c r="N26" s="16" t="n">
        <v>9.53</v>
      </c>
      <c r="O26" s="16" t="n">
        <v>12.7</v>
      </c>
      <c r="P26" s="17"/>
    </row>
    <row r="27" customFormat="false" ht="15" hidden="false" customHeight="false" outlineLevel="0" collapsed="false">
      <c r="A27" s="10" t="n">
        <v>28</v>
      </c>
      <c r="B27" s="11" t="n">
        <v>711.2</v>
      </c>
      <c r="C27" s="13"/>
      <c r="D27" s="12" t="n">
        <v>7.92</v>
      </c>
      <c r="E27" s="12" t="n">
        <v>12.7</v>
      </c>
      <c r="F27" s="12" t="n">
        <v>15.88</v>
      </c>
      <c r="G27" s="13"/>
      <c r="H27" s="13"/>
      <c r="I27" s="13"/>
      <c r="J27" s="13"/>
      <c r="K27" s="13"/>
      <c r="L27" s="13"/>
      <c r="M27" s="13"/>
      <c r="N27" s="12" t="n">
        <v>9.53</v>
      </c>
      <c r="O27" s="12" t="n">
        <v>12.7</v>
      </c>
      <c r="P27" s="13"/>
    </row>
    <row r="28" customFormat="false" ht="15" hidden="false" customHeight="false" outlineLevel="0" collapsed="false">
      <c r="A28" s="14" t="n">
        <v>30</v>
      </c>
      <c r="B28" s="15" t="n">
        <v>762</v>
      </c>
      <c r="C28" s="16" t="n">
        <v>6.35</v>
      </c>
      <c r="D28" s="16" t="n">
        <v>7.92</v>
      </c>
      <c r="E28" s="16" t="n">
        <v>12.7</v>
      </c>
      <c r="F28" s="16" t="n">
        <v>15.88</v>
      </c>
      <c r="G28" s="17"/>
      <c r="H28" s="17"/>
      <c r="I28" s="17"/>
      <c r="J28" s="17"/>
      <c r="K28" s="17"/>
      <c r="L28" s="17"/>
      <c r="M28" s="17"/>
      <c r="N28" s="16" t="n">
        <v>9.53</v>
      </c>
      <c r="O28" s="16" t="n">
        <v>12.7</v>
      </c>
      <c r="P28" s="17"/>
    </row>
    <row r="29" customFormat="false" ht="15" hidden="false" customHeight="false" outlineLevel="0" collapsed="false">
      <c r="A29" s="10" t="n">
        <v>32</v>
      </c>
      <c r="B29" s="11" t="n">
        <v>812.8</v>
      </c>
      <c r="C29" s="13"/>
      <c r="D29" s="12" t="n">
        <v>7.92</v>
      </c>
      <c r="E29" s="12" t="n">
        <v>12.7</v>
      </c>
      <c r="F29" s="12" t="n">
        <v>15.88</v>
      </c>
      <c r="G29" s="12" t="n">
        <v>17.48</v>
      </c>
      <c r="H29" s="13"/>
      <c r="I29" s="13"/>
      <c r="J29" s="13"/>
      <c r="K29" s="13"/>
      <c r="L29" s="13"/>
      <c r="M29" s="13"/>
      <c r="N29" s="12" t="n">
        <v>9.53</v>
      </c>
      <c r="O29" s="12" t="n">
        <v>12.7</v>
      </c>
      <c r="P29" s="13"/>
    </row>
    <row r="30" customFormat="false" ht="15" hidden="false" customHeight="false" outlineLevel="0" collapsed="false">
      <c r="A30" s="14" t="n">
        <v>34</v>
      </c>
      <c r="B30" s="15" t="n">
        <v>863.6</v>
      </c>
      <c r="C30" s="17"/>
      <c r="D30" s="16" t="n">
        <v>7.92</v>
      </c>
      <c r="E30" s="16" t="n">
        <v>12.7</v>
      </c>
      <c r="F30" s="16" t="n">
        <v>15.88</v>
      </c>
      <c r="G30" s="16" t="n">
        <v>17.48</v>
      </c>
      <c r="H30" s="17"/>
      <c r="I30" s="17"/>
      <c r="J30" s="17"/>
      <c r="K30" s="17"/>
      <c r="L30" s="17"/>
      <c r="M30" s="17"/>
      <c r="N30" s="16" t="n">
        <v>9.53</v>
      </c>
      <c r="O30" s="16" t="n">
        <v>12.7</v>
      </c>
      <c r="P30" s="17"/>
    </row>
    <row r="31" customFormat="false" ht="15" hidden="false" customHeight="false" outlineLevel="0" collapsed="false">
      <c r="A31" s="10" t="n">
        <v>36</v>
      </c>
      <c r="B31" s="11" t="n">
        <v>914.4</v>
      </c>
      <c r="C31" s="13"/>
      <c r="D31" s="12" t="n">
        <v>7.92</v>
      </c>
      <c r="E31" s="12" t="n">
        <v>12.7</v>
      </c>
      <c r="F31" s="12" t="n">
        <v>15.88</v>
      </c>
      <c r="G31" s="12" t="n">
        <v>19.05</v>
      </c>
      <c r="H31" s="13"/>
      <c r="I31" s="13"/>
      <c r="J31" s="13"/>
      <c r="K31" s="13"/>
      <c r="L31" s="13"/>
      <c r="M31" s="13"/>
      <c r="N31" s="12" t="n">
        <v>9.53</v>
      </c>
      <c r="O31" s="12" t="n">
        <v>12.7</v>
      </c>
      <c r="P31" s="13"/>
    </row>
    <row r="32" customFormat="false" ht="15" hidden="false" customHeight="false" outlineLevel="0" collapsed="false">
      <c r="A32" s="14" t="n">
        <v>38</v>
      </c>
      <c r="B32" s="15" t="n">
        <v>965.2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 t="n">
        <v>9.53</v>
      </c>
      <c r="O32" s="16" t="n">
        <v>12.7</v>
      </c>
      <c r="P32" s="17"/>
    </row>
    <row r="33" customFormat="false" ht="15" hidden="false" customHeight="false" outlineLevel="0" collapsed="false">
      <c r="A33" s="10" t="n">
        <v>40</v>
      </c>
      <c r="B33" s="11" t="n">
        <v>1016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2" t="n">
        <v>9.53</v>
      </c>
      <c r="O33" s="12" t="n">
        <v>12.7</v>
      </c>
      <c r="P33" s="13"/>
    </row>
    <row r="34" customFormat="false" ht="15" hidden="false" customHeight="false" outlineLevel="0" collapsed="false">
      <c r="A34" s="14" t="n">
        <v>42</v>
      </c>
      <c r="B34" s="15" t="n">
        <v>1066.8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 t="n">
        <v>9.53</v>
      </c>
      <c r="O34" s="16" t="n">
        <v>12.7</v>
      </c>
      <c r="P34" s="17"/>
    </row>
    <row r="35" customFormat="false" ht="15" hidden="false" customHeight="false" outlineLevel="0" collapsed="false">
      <c r="A35" s="10" t="n">
        <v>44</v>
      </c>
      <c r="B35" s="11" t="n">
        <v>1117.6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2" t="n">
        <v>9.53</v>
      </c>
      <c r="O35" s="12" t="n">
        <v>12.7</v>
      </c>
      <c r="P35" s="13"/>
    </row>
    <row r="36" customFormat="false" ht="15" hidden="false" customHeight="false" outlineLevel="0" collapsed="false">
      <c r="A36" s="14" t="n">
        <v>46</v>
      </c>
      <c r="B36" s="15" t="n">
        <v>1168.4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 t="n">
        <v>9.53</v>
      </c>
      <c r="O36" s="16" t="n">
        <v>12.7</v>
      </c>
      <c r="P36" s="17"/>
    </row>
    <row r="37" customFormat="false" ht="15" hidden="false" customHeight="false" outlineLevel="0" collapsed="false">
      <c r="A37" s="10" t="n">
        <v>48</v>
      </c>
      <c r="B37" s="11" t="n">
        <v>1219.2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 t="n">
        <v>9.53</v>
      </c>
      <c r="O37" s="12" t="n">
        <v>12.7</v>
      </c>
      <c r="P37" s="13"/>
    </row>
    <row r="40" customFormat="false" ht="15" hidden="false" customHeight="true" outlineLevel="0" collapsed="false">
      <c r="A40" s="8" t="s">
        <v>41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false" ht="15" hidden="false" customHeight="false" outlineLevel="0" collapsed="false">
      <c r="A41" s="18" t="s">
        <v>42</v>
      </c>
      <c r="B41" s="18" t="s">
        <v>43</v>
      </c>
      <c r="C41" s="18" t="s">
        <v>44</v>
      </c>
    </row>
    <row r="42" customFormat="false" ht="15" hidden="false" customHeight="false" outlineLevel="0" collapsed="false">
      <c r="A42" s="19" t="s">
        <v>45</v>
      </c>
      <c r="B42" s="20" t="n">
        <v>137.9</v>
      </c>
      <c r="C42" s="20" t="n">
        <v>118</v>
      </c>
    </row>
    <row r="43" customFormat="false" ht="15" hidden="false" customHeight="false" outlineLevel="0" collapsed="false">
      <c r="A43" s="21" t="s">
        <v>46</v>
      </c>
      <c r="B43" s="22" t="n">
        <v>160.7</v>
      </c>
      <c r="C43" s="22" t="n">
        <v>137.9</v>
      </c>
    </row>
    <row r="44" customFormat="false" ht="15" hidden="false" customHeight="false" outlineLevel="0" collapsed="false">
      <c r="A44" s="19" t="s">
        <v>47</v>
      </c>
      <c r="B44" s="20" t="n">
        <v>160.7</v>
      </c>
      <c r="C44" s="20" t="n">
        <v>137.9</v>
      </c>
    </row>
    <row r="45" customFormat="false" ht="15" hidden="false" customHeight="false" outlineLevel="0" collapsed="false">
      <c r="A45" s="21" t="s">
        <v>48</v>
      </c>
      <c r="B45" s="22" t="n">
        <v>126.2</v>
      </c>
      <c r="C45" s="22" t="n">
        <v>108.3</v>
      </c>
    </row>
    <row r="46" customFormat="false" ht="15" hidden="false" customHeight="false" outlineLevel="0" collapsed="false">
      <c r="A46" s="19" t="s">
        <v>49</v>
      </c>
      <c r="B46" s="20" t="n">
        <v>137.9</v>
      </c>
      <c r="C46" s="20" t="n">
        <v>118</v>
      </c>
    </row>
    <row r="47" customFormat="false" ht="15" hidden="false" customHeight="false" outlineLevel="0" collapsed="false">
      <c r="A47" s="21" t="s">
        <v>50</v>
      </c>
      <c r="B47" s="22" t="n">
        <v>137.9</v>
      </c>
      <c r="C47" s="22" t="n">
        <v>118</v>
      </c>
    </row>
    <row r="49" customFormat="false" ht="27.75" hidden="false" customHeight="true" outlineLevel="0" collapsed="false">
      <c r="A49" s="23" t="s">
        <v>51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</sheetData>
  <sheetProtection sheet="true" password="cc6f" formatCells="false" sort="false" autoFilter="false"/>
  <mergeCells count="5">
    <mergeCell ref="A1:P1"/>
    <mergeCell ref="A2:P2"/>
    <mergeCell ref="A3:P3"/>
    <mergeCell ref="A40:P40"/>
    <mergeCell ref="A49:P49"/>
  </mergeCells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6" min="4" style="0" width="15"/>
    <col collapsed="false" customWidth="true" hidden="false" outlineLevel="0" max="7" min="7" style="0" width="36"/>
  </cols>
  <sheetData>
    <row r="1" customFormat="false" ht="24" hidden="false" customHeight="true" outlineLevel="0" collapsed="false">
      <c r="A1" s="6" t="s">
        <v>52</v>
      </c>
      <c r="B1" s="6"/>
      <c r="C1" s="6"/>
      <c r="D1" s="6"/>
      <c r="E1" s="6"/>
      <c r="F1" s="6"/>
      <c r="G1" s="6"/>
    </row>
    <row r="2" customFormat="false" ht="15.7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24" t="s">
        <v>54</v>
      </c>
      <c r="B4" s="24"/>
      <c r="C4" s="24"/>
      <c r="D4" s="24"/>
      <c r="E4" s="24"/>
      <c r="F4" s="24"/>
      <c r="G4" s="24"/>
    </row>
    <row r="5" customFormat="false" ht="15" hidden="false" customHeight="true" outlineLevel="0" collapsed="false">
      <c r="A5" s="25" t="s">
        <v>55</v>
      </c>
      <c r="B5" s="26"/>
      <c r="C5" s="26"/>
      <c r="D5" s="27" t="s">
        <v>56</v>
      </c>
      <c r="E5" s="27"/>
      <c r="F5" s="27"/>
      <c r="G5" s="19" t="s">
        <v>57</v>
      </c>
    </row>
    <row r="6" customFormat="false" ht="15" hidden="false" customHeight="true" outlineLevel="0" collapsed="false">
      <c r="A6" s="25" t="s">
        <v>58</v>
      </c>
      <c r="B6" s="26"/>
      <c r="C6" s="26"/>
      <c r="D6" s="27" t="s">
        <v>59</v>
      </c>
      <c r="E6" s="27"/>
      <c r="F6" s="27"/>
      <c r="G6" s="19" t="s">
        <v>60</v>
      </c>
    </row>
    <row r="8" customFormat="false" ht="18" hidden="false" customHeight="true" outlineLevel="0" collapsed="false">
      <c r="A8" s="24" t="s">
        <v>61</v>
      </c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28" t="s">
        <v>62</v>
      </c>
      <c r="B9" s="28" t="s">
        <v>63</v>
      </c>
      <c r="C9" s="28" t="s">
        <v>64</v>
      </c>
      <c r="D9" s="28" t="s">
        <v>65</v>
      </c>
      <c r="E9" s="28"/>
      <c r="F9" s="28"/>
      <c r="G9" s="28" t="s">
        <v>66</v>
      </c>
    </row>
    <row r="10" customFormat="false" ht="15" hidden="false" customHeight="false" outlineLevel="0" collapsed="false">
      <c r="A10" s="19" t="s">
        <v>67</v>
      </c>
      <c r="B10" s="29" t="s">
        <v>68</v>
      </c>
      <c r="C10" s="30" t="s">
        <v>68</v>
      </c>
      <c r="D10" s="31" t="s">
        <v>69</v>
      </c>
      <c r="G10" s="32" t="s">
        <v>70</v>
      </c>
    </row>
    <row r="11" customFormat="false" ht="15" hidden="false" customHeight="false" outlineLevel="0" collapsed="false">
      <c r="A11" s="19" t="s">
        <v>71</v>
      </c>
      <c r="B11" s="29" t="s">
        <v>72</v>
      </c>
      <c r="C11" s="30" t="s">
        <v>68</v>
      </c>
      <c r="D11" s="33" t="n">
        <f aca="false">IF($D$10="Tubería (B31.3)",1,IF($D$10="Cabezal/esfera (VIII-1)",3,2))</f>
        <v>1</v>
      </c>
      <c r="G11" s="32" t="s">
        <v>73</v>
      </c>
    </row>
    <row r="12" customFormat="false" ht="15" hidden="false" customHeight="false" outlineLevel="0" collapsed="false">
      <c r="A12" s="19" t="s">
        <v>74</v>
      </c>
      <c r="B12" s="29" t="s">
        <v>68</v>
      </c>
      <c r="C12" s="30" t="s">
        <v>68</v>
      </c>
      <c r="D12" s="34" t="str">
        <f aca="false">IF($D$11=1,"ASME B31.3","ASME BPVC VIII-1")</f>
        <v>ASME B31.3</v>
      </c>
      <c r="G12" s="32" t="s">
        <v>75</v>
      </c>
    </row>
    <row r="13" customFormat="false" ht="15" hidden="false" customHeight="false" outlineLevel="0" collapsed="false">
      <c r="A13" s="19" t="s">
        <v>76</v>
      </c>
      <c r="B13" s="29" t="s">
        <v>68</v>
      </c>
      <c r="C13" s="30" t="s">
        <v>68</v>
      </c>
      <c r="D13" s="34" t="str">
        <f aca="false">IF($D$11=1,"B31.3 Tabla A-1","ASME II-D Tabla 1A")</f>
        <v>B31.3 Tabla A-1</v>
      </c>
      <c r="G13" s="32" t="s">
        <v>75</v>
      </c>
    </row>
    <row r="14" customFormat="false" ht="15" hidden="false" customHeight="false" outlineLevel="0" collapsed="false">
      <c r="A14" s="19" t="s">
        <v>77</v>
      </c>
      <c r="B14" s="29" t="s">
        <v>78</v>
      </c>
      <c r="C14" s="30" t="s">
        <v>68</v>
      </c>
      <c r="D14" s="35" t="n">
        <f aca="false">IF($D$11=3,0.25,0.5)</f>
        <v>0.5</v>
      </c>
      <c r="G14" s="32" t="s">
        <v>79</v>
      </c>
    </row>
    <row r="16" customFormat="false" ht="18" hidden="false" customHeight="true" outlineLevel="0" collapsed="false">
      <c r="A16" s="24" t="s">
        <v>80</v>
      </c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28" t="s">
        <v>62</v>
      </c>
      <c r="B17" s="28" t="s">
        <v>63</v>
      </c>
      <c r="C17" s="28" t="s">
        <v>64</v>
      </c>
      <c r="D17" s="28" t="s">
        <v>65</v>
      </c>
      <c r="E17" s="28"/>
      <c r="F17" s="28"/>
      <c r="G17" s="28" t="s">
        <v>66</v>
      </c>
    </row>
    <row r="18" customFormat="false" ht="15" hidden="false" customHeight="false" outlineLevel="0" collapsed="false">
      <c r="A18" s="19" t="s">
        <v>81</v>
      </c>
      <c r="B18" s="29" t="s">
        <v>82</v>
      </c>
      <c r="C18" s="30" t="s">
        <v>83</v>
      </c>
      <c r="D18" s="36" t="n">
        <v>12</v>
      </c>
      <c r="G18" s="32" t="s">
        <v>84</v>
      </c>
    </row>
    <row r="19" customFormat="false" ht="15" hidden="false" customHeight="false" outlineLevel="0" collapsed="false">
      <c r="A19" s="19" t="s">
        <v>85</v>
      </c>
      <c r="B19" s="29" t="s">
        <v>86</v>
      </c>
      <c r="C19" s="30" t="s">
        <v>68</v>
      </c>
      <c r="D19" s="31" t="s">
        <v>29</v>
      </c>
      <c r="G19" s="32" t="s">
        <v>84</v>
      </c>
    </row>
    <row r="20" customFormat="false" ht="15" hidden="false" customHeight="false" outlineLevel="0" collapsed="false">
      <c r="A20" s="19" t="s">
        <v>87</v>
      </c>
      <c r="B20" s="29" t="s">
        <v>88</v>
      </c>
      <c r="C20" s="30" t="s">
        <v>89</v>
      </c>
      <c r="D20" s="35" t="n">
        <f aca="false">INDEX(Datos_Ref!$B$5:$B$37,MATCH($D$18,Datos_Ref!$A$5:$A$37,0))</f>
        <v>323.8</v>
      </c>
      <c r="G20" s="32" t="s">
        <v>90</v>
      </c>
    </row>
    <row r="21" customFormat="false" ht="15" hidden="false" customHeight="false" outlineLevel="0" collapsed="false">
      <c r="A21" s="19" t="s">
        <v>91</v>
      </c>
      <c r="B21" s="29" t="s">
        <v>92</v>
      </c>
      <c r="C21" s="30" t="s">
        <v>89</v>
      </c>
      <c r="D21" s="35" t="n">
        <f aca="false">INDEX(Datos_Ref!$C$5:$P$37,MATCH($D$18,Datos_Ref!$A$5:$A$37,0),MATCH($D$19,Datos_Ref!$C$4:$P$4,0))</f>
        <v>6.35</v>
      </c>
      <c r="G21" s="32" t="s">
        <v>90</v>
      </c>
    </row>
    <row r="22" customFormat="false" ht="15" hidden="false" customHeight="false" outlineLevel="0" collapsed="false">
      <c r="A22" s="19" t="s">
        <v>93</v>
      </c>
      <c r="B22" s="29" t="s">
        <v>68</v>
      </c>
      <c r="C22" s="30" t="s">
        <v>68</v>
      </c>
      <c r="D22" s="31" t="s">
        <v>45</v>
      </c>
      <c r="G22" s="32" t="s">
        <v>94</v>
      </c>
    </row>
    <row r="23" customFormat="false" ht="15" hidden="false" customHeight="false" outlineLevel="0" collapsed="false">
      <c r="A23" s="19" t="s">
        <v>95</v>
      </c>
      <c r="B23" s="29" t="s">
        <v>68</v>
      </c>
      <c r="C23" s="30" t="s">
        <v>68</v>
      </c>
      <c r="D23" s="31" t="s">
        <v>46</v>
      </c>
      <c r="G23" s="32" t="s">
        <v>94</v>
      </c>
    </row>
    <row r="24" customFormat="false" ht="23.85" hidden="false" customHeight="false" outlineLevel="0" collapsed="false">
      <c r="A24" s="19" t="s">
        <v>96</v>
      </c>
      <c r="B24" s="29" t="s">
        <v>68</v>
      </c>
      <c r="C24" s="30" t="s">
        <v>68</v>
      </c>
      <c r="D24" s="31" t="s">
        <v>97</v>
      </c>
      <c r="G24" s="32"/>
    </row>
    <row r="25" customFormat="false" ht="15" hidden="false" customHeight="false" outlineLevel="0" collapsed="false">
      <c r="A25" s="19" t="s">
        <v>98</v>
      </c>
      <c r="B25" s="29" t="s">
        <v>99</v>
      </c>
      <c r="C25" s="30" t="s">
        <v>100</v>
      </c>
      <c r="D25" s="36" t="n">
        <v>25</v>
      </c>
      <c r="G25" s="32" t="s">
        <v>101</v>
      </c>
    </row>
    <row r="26" customFormat="false" ht="15" hidden="false" customHeight="false" outlineLevel="0" collapsed="false">
      <c r="A26" s="19" t="s">
        <v>102</v>
      </c>
      <c r="B26" s="29" t="s">
        <v>103</v>
      </c>
      <c r="C26" s="30" t="s">
        <v>104</v>
      </c>
      <c r="D26" s="37" t="n">
        <v>5</v>
      </c>
      <c r="G26" s="32" t="s">
        <v>101</v>
      </c>
    </row>
    <row r="27" customFormat="false" ht="15" hidden="false" customHeight="false" outlineLevel="0" collapsed="false">
      <c r="A27" s="19" t="s">
        <v>105</v>
      </c>
      <c r="B27" s="29" t="s">
        <v>106</v>
      </c>
      <c r="C27" s="30" t="s">
        <v>104</v>
      </c>
      <c r="D27" s="37" t="n">
        <v>10</v>
      </c>
      <c r="G27" s="32" t="s">
        <v>107</v>
      </c>
    </row>
    <row r="28" customFormat="false" ht="15" hidden="false" customHeight="false" outlineLevel="0" collapsed="false">
      <c r="A28" s="19" t="s">
        <v>108</v>
      </c>
      <c r="B28" s="29" t="s">
        <v>109</v>
      </c>
      <c r="C28" s="30" t="s">
        <v>104</v>
      </c>
      <c r="D28" s="37" t="n">
        <v>20</v>
      </c>
      <c r="G28" s="32" t="s">
        <v>110</v>
      </c>
    </row>
    <row r="29" customFormat="false" ht="15" hidden="false" customHeight="false" outlineLevel="0" collapsed="false">
      <c r="A29" s="19" t="s">
        <v>111</v>
      </c>
      <c r="B29" s="29" t="s">
        <v>112</v>
      </c>
      <c r="C29" s="30" t="s">
        <v>89</v>
      </c>
      <c r="D29" s="37" t="n">
        <v>8</v>
      </c>
      <c r="G29" s="32" t="s">
        <v>113</v>
      </c>
    </row>
    <row r="30" customFormat="false" ht="15" hidden="false" customHeight="false" outlineLevel="0" collapsed="false">
      <c r="A30" s="19" t="s">
        <v>114</v>
      </c>
      <c r="B30" s="29" t="s">
        <v>115</v>
      </c>
      <c r="C30" s="30" t="s">
        <v>89</v>
      </c>
      <c r="D30" s="36" t="n">
        <v>166</v>
      </c>
      <c r="G30" s="32" t="s">
        <v>116</v>
      </c>
    </row>
    <row r="31" customFormat="false" ht="15" hidden="false" customHeight="false" outlineLevel="0" collapsed="false">
      <c r="A31" s="19" t="s">
        <v>117</v>
      </c>
      <c r="B31" s="29" t="s">
        <v>118</v>
      </c>
      <c r="C31" s="30" t="s">
        <v>89</v>
      </c>
      <c r="D31" s="37" t="n">
        <v>1.5</v>
      </c>
      <c r="G31" s="32" t="s">
        <v>119</v>
      </c>
    </row>
    <row r="32" customFormat="false" ht="15" hidden="false" customHeight="false" outlineLevel="0" collapsed="false">
      <c r="A32" s="19" t="s">
        <v>120</v>
      </c>
      <c r="B32" s="29" t="s">
        <v>121</v>
      </c>
      <c r="C32" s="30" t="s">
        <v>89</v>
      </c>
      <c r="D32" s="37" t="n">
        <v>6</v>
      </c>
      <c r="G32" s="32" t="s">
        <v>122</v>
      </c>
    </row>
    <row r="33" customFormat="false" ht="15" hidden="false" customHeight="false" outlineLevel="0" collapsed="false">
      <c r="A33" s="19" t="s">
        <v>123</v>
      </c>
      <c r="B33" s="29" t="s">
        <v>68</v>
      </c>
      <c r="C33" s="30" t="s">
        <v>89</v>
      </c>
      <c r="D33" s="36" t="n">
        <v>25</v>
      </c>
      <c r="G33" s="32" t="s">
        <v>124</v>
      </c>
    </row>
    <row r="34" customFormat="false" ht="15" hidden="false" customHeight="false" outlineLevel="0" collapsed="false">
      <c r="A34" s="19" t="s">
        <v>125</v>
      </c>
      <c r="B34" s="29" t="s">
        <v>126</v>
      </c>
      <c r="C34" s="30" t="s">
        <v>89</v>
      </c>
      <c r="D34" s="37" t="n">
        <v>3</v>
      </c>
      <c r="G34" s="32" t="s">
        <v>127</v>
      </c>
    </row>
    <row r="35" customFormat="false" ht="15" hidden="false" customHeight="false" outlineLevel="0" collapsed="false">
      <c r="A35" s="19" t="s">
        <v>128</v>
      </c>
      <c r="B35" s="29" t="s">
        <v>129</v>
      </c>
      <c r="C35" s="30" t="s">
        <v>89</v>
      </c>
      <c r="D35" s="36" t="n">
        <v>40</v>
      </c>
      <c r="G35" s="32" t="s">
        <v>130</v>
      </c>
    </row>
    <row r="37" customFormat="false" ht="18" hidden="false" customHeight="true" outlineLevel="0" collapsed="false">
      <c r="A37" s="24" t="s">
        <v>131</v>
      </c>
      <c r="B37" s="24"/>
      <c r="C37" s="24"/>
      <c r="D37" s="24"/>
      <c r="E37" s="24"/>
      <c r="F37" s="24"/>
      <c r="G37" s="24"/>
    </row>
    <row r="38" customFormat="false" ht="15" hidden="false" customHeight="false" outlineLevel="0" collapsed="false">
      <c r="A38" s="28" t="s">
        <v>62</v>
      </c>
      <c r="B38" s="28" t="s">
        <v>63</v>
      </c>
      <c r="C38" s="28" t="s">
        <v>64</v>
      </c>
      <c r="D38" s="28" t="s">
        <v>65</v>
      </c>
      <c r="E38" s="28"/>
      <c r="F38" s="28"/>
      <c r="G38" s="28" t="s">
        <v>66</v>
      </c>
    </row>
    <row r="39" customFormat="false" ht="15" hidden="false" customHeight="false" outlineLevel="0" collapsed="false">
      <c r="A39" s="19" t="s">
        <v>132</v>
      </c>
      <c r="B39" s="29" t="s">
        <v>133</v>
      </c>
      <c r="C39" s="30" t="s">
        <v>134</v>
      </c>
      <c r="D39" s="38" t="n">
        <f aca="false">IF($D$11=1,INDEX(Datos_Ref!$B$42:$B$47,MATCH($D$23,Datos_Ref!$A$42:$A$47,0)),INDEX(Datos_Ref!$C$42:$C$47,MATCH($D$23,Datos_Ref!$A$42:$A$47,0)))</f>
        <v>160.7</v>
      </c>
      <c r="G39" s="32" t="s">
        <v>135</v>
      </c>
    </row>
    <row r="40" customFormat="false" ht="15" hidden="false" customHeight="false" outlineLevel="0" collapsed="false">
      <c r="A40" s="19" t="s">
        <v>136</v>
      </c>
      <c r="B40" s="29" t="s">
        <v>137</v>
      </c>
      <c r="C40" s="30" t="s">
        <v>134</v>
      </c>
      <c r="D40" s="38" t="n">
        <f aca="false">IF($D$11=1,INDEX(Datos_Ref!$B$42:$B$47,MATCH($D$22,Datos_Ref!$A$42:$A$47,0)),INDEX(Datos_Ref!$C$42:$C$47,MATCH($D$22,Datos_Ref!$A$42:$A$47,0)))</f>
        <v>137.9</v>
      </c>
      <c r="G40" s="32" t="s">
        <v>135</v>
      </c>
    </row>
    <row r="41" customFormat="false" ht="15" hidden="false" customHeight="false" outlineLevel="0" collapsed="false">
      <c r="A41" s="19" t="s">
        <v>138</v>
      </c>
      <c r="B41" s="29" t="s">
        <v>139</v>
      </c>
      <c r="C41" s="30" t="s">
        <v>134</v>
      </c>
      <c r="D41" s="38" t="n">
        <f aca="false">MIN($D$39,$D$40)</f>
        <v>137.9</v>
      </c>
      <c r="G41" s="32" t="s">
        <v>140</v>
      </c>
    </row>
    <row r="42" customFormat="false" ht="15" hidden="false" customHeight="false" outlineLevel="0" collapsed="false">
      <c r="A42" s="19" t="s">
        <v>141</v>
      </c>
      <c r="B42" s="29" t="s">
        <v>142</v>
      </c>
      <c r="C42" s="30" t="s">
        <v>68</v>
      </c>
      <c r="D42" s="39" t="n">
        <v>0.55</v>
      </c>
      <c r="G42" s="32" t="s">
        <v>143</v>
      </c>
    </row>
    <row r="43" customFormat="false" ht="15" hidden="false" customHeight="false" outlineLevel="0" collapsed="false">
      <c r="A43" s="19" t="s">
        <v>144</v>
      </c>
      <c r="B43" s="29" t="s">
        <v>145</v>
      </c>
      <c r="C43" s="30" t="s">
        <v>68</v>
      </c>
      <c r="D43" s="37" t="n">
        <v>0.4</v>
      </c>
      <c r="G43" s="32" t="s">
        <v>146</v>
      </c>
    </row>
    <row r="44" customFormat="false" ht="15" hidden="false" customHeight="false" outlineLevel="0" collapsed="false">
      <c r="A44" s="19" t="s">
        <v>147</v>
      </c>
      <c r="B44" s="29" t="s">
        <v>148</v>
      </c>
      <c r="C44" s="30" t="s">
        <v>68</v>
      </c>
      <c r="D44" s="37" t="n">
        <v>1</v>
      </c>
      <c r="G44" s="32" t="s">
        <v>149</v>
      </c>
    </row>
    <row r="45" customFormat="false" ht="15" hidden="false" customHeight="false" outlineLevel="0" collapsed="false">
      <c r="A45" s="19" t="s">
        <v>150</v>
      </c>
      <c r="B45" s="29" t="s">
        <v>151</v>
      </c>
      <c r="C45" s="30" t="s">
        <v>152</v>
      </c>
      <c r="D45" s="36" t="n">
        <v>7850</v>
      </c>
      <c r="G45" s="32"/>
    </row>
    <row r="46" customFormat="false" ht="15" hidden="false" customHeight="false" outlineLevel="0" collapsed="false">
      <c r="A46" s="19" t="s">
        <v>153</v>
      </c>
      <c r="B46" s="29" t="s">
        <v>68</v>
      </c>
      <c r="C46" s="30" t="s">
        <v>68</v>
      </c>
      <c r="D46" s="37" t="n">
        <v>1.5</v>
      </c>
      <c r="G46" s="32" t="s">
        <v>154</v>
      </c>
    </row>
    <row r="47" customFormat="false" ht="22.35" hidden="false" customHeight="false" outlineLevel="0" collapsed="false">
      <c r="A47" s="19" t="s">
        <v>155</v>
      </c>
      <c r="B47" s="29" t="s">
        <v>156</v>
      </c>
      <c r="C47" s="30" t="s">
        <v>68</v>
      </c>
      <c r="D47" s="40" t="n">
        <v>0.0980665</v>
      </c>
      <c r="G47" s="32" t="s">
        <v>157</v>
      </c>
    </row>
    <row r="48" customFormat="false" ht="15" hidden="false" customHeight="false" outlineLevel="0" collapsed="false">
      <c r="A48" s="19" t="s">
        <v>158</v>
      </c>
      <c r="B48" s="29" t="s">
        <v>159</v>
      </c>
      <c r="C48" s="30" t="s">
        <v>134</v>
      </c>
      <c r="D48" s="38" t="n">
        <f aca="false">1.5*$D$41</f>
        <v>206.85</v>
      </c>
      <c r="G48" s="32" t="s">
        <v>160</v>
      </c>
    </row>
    <row r="50" customFormat="false" ht="18" hidden="false" customHeight="true" outlineLevel="0" collapsed="false">
      <c r="A50" s="24" t="s">
        <v>161</v>
      </c>
      <c r="B50" s="24"/>
      <c r="C50" s="24"/>
      <c r="D50" s="24"/>
      <c r="E50" s="24"/>
      <c r="F50" s="24"/>
      <c r="G50" s="24"/>
    </row>
    <row r="51" customFormat="false" ht="15" hidden="false" customHeight="false" outlineLevel="0" collapsed="false">
      <c r="A51" s="28" t="s">
        <v>62</v>
      </c>
      <c r="B51" s="28" t="s">
        <v>63</v>
      </c>
      <c r="C51" s="28" t="s">
        <v>64</v>
      </c>
      <c r="D51" s="28" t="s">
        <v>65</v>
      </c>
      <c r="E51" s="28"/>
      <c r="F51" s="28"/>
      <c r="G51" s="28" t="s">
        <v>162</v>
      </c>
    </row>
    <row r="52" customFormat="false" ht="15" hidden="false" customHeight="false" outlineLevel="0" collapsed="false">
      <c r="A52" s="19" t="s">
        <v>163</v>
      </c>
      <c r="B52" s="29" t="s">
        <v>164</v>
      </c>
      <c r="C52" s="30" t="s">
        <v>89</v>
      </c>
      <c r="D52" s="35" t="n">
        <f aca="false">$D$20-$D$21</f>
        <v>317.45</v>
      </c>
      <c r="G52" s="32" t="s">
        <v>165</v>
      </c>
    </row>
    <row r="53" customFormat="false" ht="15" hidden="false" customHeight="false" outlineLevel="0" collapsed="false">
      <c r="A53" s="19" t="s">
        <v>166</v>
      </c>
      <c r="B53" s="29" t="s">
        <v>167</v>
      </c>
      <c r="C53" s="30" t="s">
        <v>89</v>
      </c>
      <c r="D53" s="35" t="n">
        <f aca="false">$D$52/2</f>
        <v>158.725</v>
      </c>
      <c r="G53" s="32" t="s">
        <v>168</v>
      </c>
    </row>
    <row r="54" customFormat="false" ht="15" hidden="false" customHeight="false" outlineLevel="0" collapsed="false">
      <c r="A54" s="19" t="s">
        <v>169</v>
      </c>
      <c r="B54" s="29" t="s">
        <v>170</v>
      </c>
      <c r="C54" s="30" t="s">
        <v>89</v>
      </c>
      <c r="D54" s="35" t="n">
        <f aca="false">$D$20/2-$D$21</f>
        <v>155.55</v>
      </c>
      <c r="G54" s="32" t="s">
        <v>171</v>
      </c>
    </row>
    <row r="55" customFormat="false" ht="15" hidden="false" customHeight="false" outlineLevel="0" collapsed="false">
      <c r="A55" s="19" t="s">
        <v>172</v>
      </c>
      <c r="B55" s="29" t="s">
        <v>173</v>
      </c>
      <c r="C55" s="30" t="s">
        <v>89</v>
      </c>
      <c r="D55" s="41" t="n">
        <f aca="false">($D$29+$D$21)/2</f>
        <v>7.175</v>
      </c>
      <c r="G55" s="32" t="s">
        <v>174</v>
      </c>
    </row>
    <row r="56" customFormat="false" ht="15" hidden="false" customHeight="false" outlineLevel="0" collapsed="false">
      <c r="A56" s="19" t="s">
        <v>175</v>
      </c>
      <c r="B56" s="29" t="s">
        <v>176</v>
      </c>
      <c r="C56" s="30" t="s">
        <v>89</v>
      </c>
      <c r="D56" s="38" t="n">
        <f aca="false">$D$20/2+$D$31+$D$29/2</f>
        <v>167.4</v>
      </c>
      <c r="G56" s="32" t="s">
        <v>177</v>
      </c>
    </row>
    <row r="57" customFormat="false" ht="15" hidden="false" customHeight="false" outlineLevel="0" collapsed="false">
      <c r="A57" s="19" t="s">
        <v>178</v>
      </c>
      <c r="B57" s="29" t="s">
        <v>179</v>
      </c>
      <c r="C57" s="30" t="s">
        <v>180</v>
      </c>
      <c r="D57" s="38" t="n">
        <f aca="false">$D$14*$D$52/$D$29*(1+6*$D$55/$D$29)</f>
        <v>126.60798828125</v>
      </c>
      <c r="G57" s="32" t="s">
        <v>181</v>
      </c>
    </row>
    <row r="59" customFormat="false" ht="18" hidden="false" customHeight="true" outlineLevel="0" collapsed="false">
      <c r="A59" s="24" t="s">
        <v>182</v>
      </c>
      <c r="B59" s="24"/>
      <c r="C59" s="24"/>
      <c r="D59" s="24"/>
      <c r="E59" s="24"/>
      <c r="F59" s="24"/>
      <c r="G59" s="24"/>
    </row>
    <row r="60" customFormat="false" ht="15" hidden="false" customHeight="false" outlineLevel="0" collapsed="false">
      <c r="A60" s="28" t="s">
        <v>62</v>
      </c>
      <c r="B60" s="28" t="s">
        <v>63</v>
      </c>
      <c r="C60" s="28" t="s">
        <v>64</v>
      </c>
      <c r="D60" s="28" t="s">
        <v>183</v>
      </c>
      <c r="E60" s="28" t="s">
        <v>184</v>
      </c>
      <c r="F60" s="28" t="s">
        <v>185</v>
      </c>
      <c r="G60" s="28" t="s">
        <v>186</v>
      </c>
    </row>
    <row r="61" customFormat="false" ht="15" hidden="false" customHeight="false" outlineLevel="0" collapsed="false">
      <c r="A61" s="19" t="s">
        <v>187</v>
      </c>
      <c r="B61" s="29" t="s">
        <v>188</v>
      </c>
      <c r="C61" s="30" t="s">
        <v>104</v>
      </c>
      <c r="D61" s="20" t="n">
        <f aca="false">$D$26</f>
        <v>5</v>
      </c>
      <c r="E61" s="20" t="n">
        <f aca="false">$D$27</f>
        <v>10</v>
      </c>
      <c r="F61" s="20" t="n">
        <f aca="false">$D$28</f>
        <v>20</v>
      </c>
      <c r="G61" s="32" t="s">
        <v>189</v>
      </c>
    </row>
    <row r="62" customFormat="false" ht="15" hidden="false" customHeight="false" outlineLevel="0" collapsed="false">
      <c r="A62" s="19" t="s">
        <v>187</v>
      </c>
      <c r="B62" s="29" t="s">
        <v>188</v>
      </c>
      <c r="C62" s="30" t="s">
        <v>134</v>
      </c>
      <c r="D62" s="42" t="n">
        <f aca="false">D61*$D$47</f>
        <v>0.4903325</v>
      </c>
      <c r="E62" s="42" t="n">
        <f aca="false">E61*$D$47</f>
        <v>0.980665</v>
      </c>
      <c r="F62" s="42" t="n">
        <f aca="false">F61*$D$47</f>
        <v>1.96133</v>
      </c>
      <c r="G62" s="32" t="s">
        <v>190</v>
      </c>
    </row>
    <row r="63" customFormat="false" ht="15" hidden="false" customHeight="false" outlineLevel="0" collapsed="false">
      <c r="A63" s="19" t="s">
        <v>191</v>
      </c>
      <c r="B63" s="29" t="s">
        <v>192</v>
      </c>
      <c r="C63" s="30" t="s">
        <v>193</v>
      </c>
      <c r="D63" s="20" t="n">
        <f aca="false">$D$14*D62*$D$52</f>
        <v>77.8280260625</v>
      </c>
      <c r="E63" s="20" t="n">
        <f aca="false">$D$14*E62*$D$52</f>
        <v>155.656052125</v>
      </c>
      <c r="F63" s="20" t="n">
        <f aca="false">$D$14*F62*$D$52</f>
        <v>311.31210425</v>
      </c>
      <c r="G63" s="32" t="s">
        <v>194</v>
      </c>
    </row>
    <row r="64" customFormat="false" ht="15" hidden="false" customHeight="false" outlineLevel="0" collapsed="false">
      <c r="A64" s="19" t="s">
        <v>195</v>
      </c>
      <c r="B64" s="29" t="s">
        <v>196</v>
      </c>
      <c r="C64" s="30" t="s">
        <v>89</v>
      </c>
      <c r="D64" s="43" t="n">
        <f aca="false">D63/($D$42*$D$41)</f>
        <v>1.02614577180434</v>
      </c>
      <c r="E64" s="43" t="n">
        <f aca="false">E63/($D$42*$D$41)</f>
        <v>2.05229154360868</v>
      </c>
      <c r="F64" s="43" t="n">
        <f aca="false">F63/($D$42*$D$41)</f>
        <v>4.10458308721735</v>
      </c>
      <c r="G64" s="32" t="s">
        <v>197</v>
      </c>
    </row>
    <row r="65" customFormat="false" ht="15" hidden="false" customHeight="false" outlineLevel="0" collapsed="false">
      <c r="A65" s="19" t="s">
        <v>198</v>
      </c>
      <c r="B65" s="29" t="s">
        <v>199</v>
      </c>
      <c r="C65" s="30" t="s">
        <v>89</v>
      </c>
      <c r="D65" s="43" t="n">
        <f aca="false">IF($D$11=1,D62*$D$20/(2*($D$40*$D$44+D62*$D$43)),IF($D$11=3,D62*$D$54/(2*$D$40*$D$44-0.2*D62),D62*$D$54/($D$40*$D$44-0.6*D62)))</f>
        <v>0.574851952950775</v>
      </c>
      <c r="E65" s="43" t="n">
        <f aca="false">IF($D$11=1,E62*$D$20/(2*($D$40*$D$44+E62*$D$43)),IF($D$11=3,E62*$D$54/(2*$D$40*$D$44-0.2*E62),E62*$D$54/($D$40*$D$44-0.6*E62)))</f>
        <v>1.148073338389</v>
      </c>
      <c r="F65" s="43" t="n">
        <f aca="false">IF($D$11=1,F62*$D$20/(2*($D$40*$D$44+F62*$D$43)),IF($D$11=3,F62*$D$54/(2*$D$40*$D$44-0.2*F62),F62*$D$54/($D$40*$D$44-0.6*F62)))</f>
        <v>2.28965207886342</v>
      </c>
      <c r="G65" s="32" t="s">
        <v>200</v>
      </c>
    </row>
    <row r="66" customFormat="false" ht="15" hidden="false" customHeight="false" outlineLevel="0" collapsed="false">
      <c r="A66" s="19" t="s">
        <v>201</v>
      </c>
      <c r="B66" s="29" t="s">
        <v>202</v>
      </c>
      <c r="C66" s="30" t="s">
        <v>134</v>
      </c>
      <c r="D66" s="20" t="n">
        <f aca="false">D63/$D$29</f>
        <v>9.7285032578125</v>
      </c>
      <c r="E66" s="20" t="n">
        <f aca="false">E63/$D$29</f>
        <v>19.457006515625</v>
      </c>
      <c r="F66" s="20" t="n">
        <f aca="false">F63/$D$29</f>
        <v>38.91401303125</v>
      </c>
      <c r="G66" s="32" t="s">
        <v>203</v>
      </c>
    </row>
    <row r="67" customFormat="false" ht="15" hidden="false" customHeight="false" outlineLevel="0" collapsed="false">
      <c r="A67" s="19" t="s">
        <v>204</v>
      </c>
      <c r="B67" s="29" t="s">
        <v>205</v>
      </c>
      <c r="C67" s="30" t="s">
        <v>134</v>
      </c>
      <c r="D67" s="20" t="n">
        <f aca="false">6*D63*$D$55/$D$29^2</f>
        <v>52.3515081561035</v>
      </c>
      <c r="E67" s="20" t="n">
        <f aca="false">6*E63*$D$55/$D$29^2</f>
        <v>104.703016312207</v>
      </c>
      <c r="F67" s="20" t="n">
        <f aca="false">6*F63*$D$55/$D$29^2</f>
        <v>209.406032624414</v>
      </c>
      <c r="G67" s="32" t="s">
        <v>206</v>
      </c>
    </row>
    <row r="68" customFormat="false" ht="15" hidden="false" customHeight="false" outlineLevel="0" collapsed="false">
      <c r="A68" s="19" t="s">
        <v>207</v>
      </c>
      <c r="B68" s="29" t="s">
        <v>208</v>
      </c>
      <c r="C68" s="30" t="s">
        <v>134</v>
      </c>
      <c r="D68" s="20" t="n">
        <f aca="false">D66+D67</f>
        <v>62.080011413916</v>
      </c>
      <c r="E68" s="20" t="n">
        <f aca="false">E66+E67</f>
        <v>124.160022827832</v>
      </c>
      <c r="F68" s="20" t="n">
        <f aca="false">F66+F67</f>
        <v>248.320045655664</v>
      </c>
      <c r="G68" s="32" t="s">
        <v>209</v>
      </c>
    </row>
    <row r="69" customFormat="false" ht="15" hidden="false" customHeight="false" outlineLevel="0" collapsed="false">
      <c r="A69" s="19" t="s">
        <v>210</v>
      </c>
      <c r="B69" s="29"/>
      <c r="C69" s="30" t="s">
        <v>68</v>
      </c>
      <c r="D69" s="44" t="str">
        <f aca="false">IF(D68&lt;=$D$48,"CUMPLE","NO CUMPLE")</f>
        <v>CUMPLE</v>
      </c>
      <c r="E69" s="44" t="str">
        <f aca="false">IF(E68&lt;=$D$48,"CUMPLE","NO CUMPLE")</f>
        <v>CUMPLE</v>
      </c>
      <c r="F69" s="44" t="str">
        <f aca="false">IF(F68&lt;=$D$48,"CUMPLE","NO CUMPLE")</f>
        <v>NO CUMPLE</v>
      </c>
      <c r="G69" s="32" t="s">
        <v>211</v>
      </c>
    </row>
    <row r="71" customFormat="false" ht="18" hidden="false" customHeight="true" outlineLevel="0" collapsed="false">
      <c r="A71" s="24" t="s">
        <v>212</v>
      </c>
      <c r="B71" s="24"/>
      <c r="C71" s="24"/>
      <c r="D71" s="24"/>
      <c r="E71" s="24"/>
      <c r="F71" s="24"/>
      <c r="G71" s="24"/>
    </row>
    <row r="72" customFormat="false" ht="15" hidden="false" customHeight="false" outlineLevel="0" collapsed="false">
      <c r="A72" s="28" t="s">
        <v>62</v>
      </c>
      <c r="B72" s="28" t="s">
        <v>63</v>
      </c>
      <c r="C72" s="28" t="s">
        <v>64</v>
      </c>
      <c r="D72" s="28" t="s">
        <v>65</v>
      </c>
      <c r="E72" s="28"/>
      <c r="F72" s="28"/>
      <c r="G72" s="28" t="s">
        <v>162</v>
      </c>
    </row>
    <row r="73" customFormat="false" ht="15" hidden="false" customHeight="false" outlineLevel="0" collapsed="false">
      <c r="A73" s="19" t="s">
        <v>213</v>
      </c>
      <c r="B73" s="29" t="s">
        <v>214</v>
      </c>
      <c r="C73" s="30" t="s">
        <v>89</v>
      </c>
      <c r="D73" s="38" t="n">
        <f aca="false">2*SQRT($D$53*$D$21)</f>
        <v>63.4949998031341</v>
      </c>
      <c r="G73" s="32" t="s">
        <v>215</v>
      </c>
    </row>
    <row r="74" customFormat="false" ht="15" hidden="false" customHeight="false" outlineLevel="0" collapsed="false">
      <c r="A74" s="19" t="s">
        <v>216</v>
      </c>
      <c r="B74" s="29" t="s">
        <v>217</v>
      </c>
      <c r="C74" s="30" t="s">
        <v>134</v>
      </c>
      <c r="D74" s="41" t="n">
        <f aca="false">$D$48/$D$57</f>
        <v>1.63378316651315</v>
      </c>
      <c r="G74" s="32" t="s">
        <v>218</v>
      </c>
    </row>
    <row r="75" customFormat="false" ht="15" hidden="false" customHeight="false" outlineLevel="0" collapsed="false">
      <c r="A75" s="19" t="s">
        <v>216</v>
      </c>
      <c r="B75" s="29" t="s">
        <v>217</v>
      </c>
      <c r="C75" s="30" t="s">
        <v>104</v>
      </c>
      <c r="D75" s="38" t="n">
        <f aca="false">$D$74/$D$47</f>
        <v>16.6599518338387</v>
      </c>
      <c r="G75" s="32"/>
    </row>
    <row r="76" customFormat="false" ht="15" hidden="false" customHeight="false" outlineLevel="0" collapsed="false">
      <c r="A76" s="19" t="s">
        <v>219</v>
      </c>
      <c r="B76" s="29"/>
      <c r="C76" s="30" t="s">
        <v>220</v>
      </c>
      <c r="D76" s="38" t="n">
        <f aca="false">$D$75/$D$26</f>
        <v>3.33199036676775</v>
      </c>
      <c r="G76" s="32" t="s">
        <v>221</v>
      </c>
    </row>
    <row r="77" customFormat="false" ht="15" hidden="false" customHeight="false" outlineLevel="0" collapsed="false">
      <c r="A77" s="19" t="s">
        <v>222</v>
      </c>
      <c r="B77" s="29"/>
      <c r="C77" s="30" t="s">
        <v>223</v>
      </c>
      <c r="D77" s="35" t="n">
        <f aca="false">50*$D$29/$D$56</f>
        <v>2.389486260454</v>
      </c>
      <c r="G77" s="32" t="s">
        <v>224</v>
      </c>
    </row>
    <row r="78" customFormat="false" ht="15" hidden="false" customHeight="false" outlineLevel="0" collapsed="false">
      <c r="A78" s="19" t="s">
        <v>225</v>
      </c>
      <c r="B78" s="29" t="s">
        <v>226</v>
      </c>
      <c r="C78" s="30" t="s">
        <v>89</v>
      </c>
      <c r="D78" s="38" t="n">
        <f aca="false">PI()/2*($D$20+2*$D$31+$D$29)</f>
        <v>525.902610210931</v>
      </c>
      <c r="G78" s="32" t="s">
        <v>227</v>
      </c>
    </row>
    <row r="79" customFormat="false" ht="15" hidden="false" customHeight="false" outlineLevel="0" collapsed="false">
      <c r="A79" s="19" t="s">
        <v>228</v>
      </c>
      <c r="B79" s="29"/>
      <c r="C79" s="30" t="s">
        <v>89</v>
      </c>
      <c r="D79" s="38" t="n">
        <f aca="false">$D$78-3</f>
        <v>522.902610210931</v>
      </c>
      <c r="G79" s="32" t="s">
        <v>229</v>
      </c>
    </row>
    <row r="80" customFormat="false" ht="15" hidden="false" customHeight="false" outlineLevel="0" collapsed="false">
      <c r="A80" s="19" t="s">
        <v>230</v>
      </c>
      <c r="B80" s="29"/>
      <c r="C80" s="30" t="s">
        <v>231</v>
      </c>
      <c r="D80" s="38" t="n">
        <f aca="false">2*$D$79*$D$30*$D$29*$D$45/1000000000</f>
        <v>10.9023102618538</v>
      </c>
      <c r="G80" s="32" t="s">
        <v>232</v>
      </c>
    </row>
    <row r="82" customFormat="false" ht="18" hidden="false" customHeight="true" outlineLevel="0" collapsed="false">
      <c r="A82" s="24" t="s">
        <v>233</v>
      </c>
      <c r="B82" s="24"/>
      <c r="C82" s="24"/>
      <c r="D82" s="24"/>
      <c r="E82" s="24"/>
      <c r="F82" s="24"/>
      <c r="G82" s="24"/>
    </row>
    <row r="83" customFormat="false" ht="15" hidden="false" customHeight="false" outlineLevel="0" collapsed="false">
      <c r="A83" s="28" t="s">
        <v>234</v>
      </c>
      <c r="B83" s="28"/>
      <c r="C83" s="28"/>
      <c r="D83" s="28" t="s">
        <v>235</v>
      </c>
      <c r="E83" s="28" t="s">
        <v>122</v>
      </c>
      <c r="F83" s="28" t="s">
        <v>236</v>
      </c>
      <c r="G83" s="28" t="s">
        <v>237</v>
      </c>
    </row>
    <row r="84" customFormat="false" ht="15" hidden="false" customHeight="true" outlineLevel="0" collapsed="false">
      <c r="A84" s="25" t="s">
        <v>238</v>
      </c>
      <c r="B84" s="25"/>
      <c r="C84" s="25"/>
      <c r="D84" s="43" t="n">
        <f aca="false">MAX(D64:F64)</f>
        <v>4.10458308721735</v>
      </c>
      <c r="E84" s="43" t="n">
        <f aca="false">$D$32</f>
        <v>6</v>
      </c>
      <c r="F84" s="45" t="str">
        <f aca="false">IF(E84&gt;=D84,"CUMPLE","NO CUMPLE")</f>
        <v>CUMPLE</v>
      </c>
      <c r="G84" s="32" t="s">
        <v>239</v>
      </c>
    </row>
    <row r="85" customFormat="false" ht="15" hidden="false" customHeight="true" outlineLevel="0" collapsed="false">
      <c r="A85" s="25" t="s">
        <v>240</v>
      </c>
      <c r="B85" s="25"/>
      <c r="C85" s="25"/>
      <c r="D85" s="43" t="n">
        <f aca="false">$D$48</f>
        <v>206.85</v>
      </c>
      <c r="E85" s="43" t="n">
        <f aca="false">E68</f>
        <v>124.160022827832</v>
      </c>
      <c r="F85" s="45" t="str">
        <f aca="false">IF(E85&lt;=D85,"CUMPLE","NO CUMPLE")</f>
        <v>CUMPLE</v>
      </c>
      <c r="G85" s="32" t="s">
        <v>241</v>
      </c>
    </row>
    <row r="86" customFormat="false" ht="15" hidden="false" customHeight="true" outlineLevel="0" collapsed="false">
      <c r="A86" s="25" t="s">
        <v>242</v>
      </c>
      <c r="B86" s="25"/>
      <c r="C86" s="25"/>
      <c r="D86" s="43" t="n">
        <v>5</v>
      </c>
      <c r="E86" s="43" t="n">
        <f aca="false">$D$77</f>
        <v>2.389486260454</v>
      </c>
      <c r="F86" s="45" t="str">
        <f aca="false">IF(E86&lt;=D86,"CUMPLE","NO CUMPLE")</f>
        <v>CUMPLE</v>
      </c>
      <c r="G86" s="32" t="s">
        <v>243</v>
      </c>
    </row>
    <row r="87" customFormat="false" ht="15" hidden="false" customHeight="true" outlineLevel="0" collapsed="false">
      <c r="A87" s="25" t="s">
        <v>244</v>
      </c>
      <c r="B87" s="25"/>
      <c r="C87" s="25"/>
      <c r="D87" s="43" t="n">
        <f aca="false">F65</f>
        <v>2.28965207886342</v>
      </c>
      <c r="E87" s="43" t="n">
        <f aca="false">$D$21</f>
        <v>6.35</v>
      </c>
      <c r="F87" s="45" t="str">
        <f aca="false">IF(E87&gt;=D87,"CUMPLE","NO CUMPLE")</f>
        <v>CUMPLE</v>
      </c>
      <c r="G87" s="32" t="s">
        <v>245</v>
      </c>
    </row>
    <row r="88" customFormat="false" ht="15" hidden="false" customHeight="true" outlineLevel="0" collapsed="false">
      <c r="A88" s="25" t="s">
        <v>246</v>
      </c>
      <c r="B88" s="25"/>
      <c r="C88" s="25"/>
      <c r="D88" s="43" t="n">
        <f aca="false">$D$73</f>
        <v>63.4949998031341</v>
      </c>
      <c r="E88" s="43" t="n">
        <f aca="false">$D$35</f>
        <v>40</v>
      </c>
      <c r="F88" s="45" t="str">
        <f aca="false">IF(E88&lt;D88,"Refuerzo 360°","Parche local")</f>
        <v>Refuerzo 360°</v>
      </c>
      <c r="G88" s="32" t="s">
        <v>247</v>
      </c>
    </row>
    <row r="89" customFormat="false" ht="15" hidden="false" customHeight="true" outlineLevel="0" collapsed="false">
      <c r="A89" s="25" t="s">
        <v>248</v>
      </c>
      <c r="B89" s="25"/>
      <c r="C89" s="25"/>
      <c r="D89" s="43" t="n">
        <f aca="false">$D$75</f>
        <v>16.6599518338387</v>
      </c>
      <c r="E89" s="43" t="n">
        <f aca="false">$D$27</f>
        <v>10</v>
      </c>
      <c r="F89" s="45" t="str">
        <f aca="false">IF(E89&lt;=D89,"OK — parche","Migrar (Art.206)")</f>
        <v>OK — parche</v>
      </c>
      <c r="G89" s="32" t="s">
        <v>249</v>
      </c>
    </row>
    <row r="90" customFormat="false" ht="21.75" hidden="false" customHeight="true" outlineLevel="0" collapsed="false">
      <c r="A90" s="46" t="s">
        <v>250</v>
      </c>
      <c r="B90" s="46"/>
      <c r="C90" s="46"/>
      <c r="D90" s="46"/>
      <c r="E90" s="46"/>
      <c r="F90" s="47" t="str">
        <f aca="false">IF(AND(F84="CUMPLE",F85="CUMPLE",F86="CUMPLE",F87="CUMPLE"),"APTO","REVISAR")</f>
        <v>APTO</v>
      </c>
      <c r="G90" s="26"/>
    </row>
    <row r="92" customFormat="false" ht="18" hidden="false" customHeight="true" outlineLevel="0" collapsed="false">
      <c r="A92" s="24" t="s">
        <v>251</v>
      </c>
      <c r="B92" s="24"/>
      <c r="C92" s="24"/>
      <c r="D92" s="24"/>
      <c r="E92" s="24"/>
      <c r="F92" s="24"/>
      <c r="G92" s="24"/>
    </row>
    <row r="93" customFormat="false" ht="42" hidden="false" customHeight="true" outlineLevel="0" collapsed="false">
      <c r="A93" s="48" t="s">
        <v>252</v>
      </c>
      <c r="B93" s="49" t="str">
        <f aca="false">"Reparación por parche/collar de refuerzo soldado (ASME PCC-2-2022, Art. 212/206). Aplicación: "&amp;$D$10&amp;". Código: "&amp;$D$12&amp;". Plancha "&amp;$D$23&amp;" de "&amp;TEXT($D$29,"0")&amp;" mm; peso aprox. "&amp;TEXT($D$80,"0.0")&amp;" kg."</f>
        <v>Reparación por parche/collar de refuerzo soldado (ASME PCC-2-2022, Art. 212/206). Aplicación: Tubería (B31.3). Código: ASME B31.3. Plancha A516 Gr.70 de 8 mm; peso aprox. 10.9 kg.</v>
      </c>
      <c r="C93" s="49"/>
      <c r="D93" s="49"/>
      <c r="E93" s="49"/>
      <c r="F93" s="49"/>
      <c r="G93" s="49"/>
    </row>
    <row r="94" customFormat="false" ht="42" hidden="false" customHeight="true" outlineLevel="0" collapsed="false">
      <c r="A94" s="48" t="s">
        <v>253</v>
      </c>
      <c r="B94" s="49" t="str">
        <f aca="false">"Juntas a tope en V, penetración completa (C.J.P), raíz abierta sin respaldo. Raíz GTAW ER70S-6; relleno/peine SMAW E7018 bajo hidrógeno. Ángulo incluido 60°–75°, talón 1,5 mm, luz de raíz 2–3 mm."</f>
        <v>Juntas a tope en V, penetración completa (C.J.P), raíz abierta sin respaldo. Raíz GTAW ER70S-6; relleno/peine SMAW E7018 bajo hidrógeno. Ángulo incluido 60°–75°, talón 1,5 mm, luz de raíz 2–3 mm.</v>
      </c>
      <c r="C94" s="49"/>
      <c r="D94" s="49"/>
      <c r="E94" s="49"/>
      <c r="F94" s="49"/>
      <c r="G94" s="49"/>
    </row>
    <row r="95" customFormat="false" ht="42" hidden="false" customHeight="true" outlineLevel="0" collapsed="false">
      <c r="A95" s="48" t="s">
        <v>254</v>
      </c>
      <c r="B95" s="49" t="str">
        <f aca="false">"Filetes de cateto "&amp;TEXT($D$32,"0")&amp;" mm sobre metal sano; solape ≥ "&amp;TEXT($D$33,"0")&amp;" mm por extremo, verificado por UT. Sin soldaduras de tapón en collar de encierro total."</f>
        <v>Filetes de cateto 6 mm sobre metal sano; solape ≥ 25 mm por extremo, verificado por UT. Sin soldaduras de tapón en collar de encierro total.</v>
      </c>
      <c r="C95" s="49"/>
      <c r="D95" s="49"/>
      <c r="E95" s="49"/>
      <c r="F95" s="49"/>
      <c r="G95" s="49"/>
    </row>
    <row r="96" customFormat="false" ht="42" hidden="false" customHeight="true" outlineLevel="0" collapsed="false">
      <c r="A96" s="48" t="s">
        <v>255</v>
      </c>
      <c r="B96" s="49" t="str">
        <f aca="false">"Electrodo bajo hidrógeno E7018 (Ø 2,4–3,2 mm); precalentamiento ≥ 100 °C; control de aporte térmico frente a perforación e hidrógeno. WPS calificado con el Apéndice Obligatorio 210-I; END diferido 24–72 h. Tramo drenado/despresurizado antes del cordón de cierre."</f>
        <v>Electrodo bajo hidrógeno E7018 (Ø 2,4–3,2 mm); precalentamiento ≥ 100 °C; control de aporte térmico frente a perforación e hidrógeno. WPS calificado con el Apéndice Obligatorio 210-I; END diferido 24–72 h. Tramo drenado/despresurizado antes del cordón de cierre.</v>
      </c>
      <c r="C96" s="49"/>
      <c r="D96" s="49"/>
      <c r="E96" s="49"/>
      <c r="F96" s="49"/>
      <c r="G96" s="49"/>
    </row>
    <row r="97" customFormat="false" ht="42" hidden="false" customHeight="true" outlineLevel="0" collapsed="false">
      <c r="A97" s="48" t="s">
        <v>256</v>
      </c>
      <c r="B97" s="49" t="str">
        <f aca="false">"100 % VT + 100 % PT/MT de juntas y filetes (criterio del código de construcción); UT de espesores bajo filetes y del área reparada; END diferido 24–72 h si es en servicio (Art. 210, 210-5.2)."</f>
        <v>100 % VT + 100 % PT/MT de juntas y filetes (criterio del código de construcción); UT de espesores bajo filetes y del área reparada; END diferido 24–72 h si es en servicio (Art. 210, 210-5.2).</v>
      </c>
      <c r="C97" s="49"/>
      <c r="D97" s="49"/>
      <c r="E97" s="49"/>
      <c r="F97" s="49"/>
      <c r="G97" s="49"/>
    </row>
    <row r="98" customFormat="false" ht="42" hidden="false" customHeight="true" outlineLevel="0" collapsed="false">
      <c r="A98" s="48" t="s">
        <v>257</v>
      </c>
      <c r="B98" s="49" t="str">
        <f aca="false">"ED-B-06.00 / PE-B-0600.01 Esquema N° 1: Sa 2½ (ISO 8501-1); imprimación epoxi-Al 70 µm + intermedia epoxi MIO 110 µm + PU alifático 2×40 µm = 260 µm. Aplicación EC-B-53.00. Ajustar a la especificación del propietario."</f>
        <v>ED-B-06.00 / PE-B-0600.01 Esquema N° 1: Sa 2½ (ISO 8501-1); imprimación epoxi-Al 70 µm + intermedia epoxi MIO 110 µm + PU alifático 2×40 µm = 260 µm. Aplicación EC-B-53.00. Ajustar a la especificación del propietario.</v>
      </c>
      <c r="C98" s="49"/>
      <c r="D98" s="49"/>
      <c r="E98" s="49"/>
      <c r="F98" s="49"/>
      <c r="G98" s="49"/>
    </row>
    <row r="99" customFormat="false" ht="42" hidden="false" customHeight="true" outlineLevel="0" collapsed="false">
      <c r="A99" s="48" t="s">
        <v>258</v>
      </c>
      <c r="B99" s="49" t="str">
        <f aca="false">"Prueba de fuga en servicio (VT+PT/MT) o hidrostática a "&amp;TEXT($D$46*$D$27,"0.0")&amp;" kg/cm² ("&amp;TEXT($D$46,"0.0")&amp;"×P_diseño). Tubería: PCC-2 Art. 212-6 / Art. 501. Recipiente: ASME VIII-1 UG-99."</f>
        <v>Prueba de fuga en servicio (VT+PT/MT) o hidrostática a 15.0 kg/cm² (1.5×P_diseño). Tubería: PCC-2 Art. 212-6 / Art. 501. Recipiente: ASME VIII-1 UG-99.</v>
      </c>
      <c r="C99" s="49"/>
      <c r="D99" s="49"/>
      <c r="E99" s="49"/>
      <c r="F99" s="49"/>
      <c r="G99" s="49"/>
    </row>
    <row r="101" customFormat="false" ht="27.75" hidden="false" customHeight="true" outlineLevel="0" collapsed="false">
      <c r="A101" s="23" t="s">
        <v>259</v>
      </c>
      <c r="B101" s="23"/>
      <c r="C101" s="23"/>
      <c r="D101" s="23"/>
      <c r="E101" s="23"/>
      <c r="F101" s="23"/>
      <c r="G101" s="23"/>
    </row>
  </sheetData>
  <sheetProtection sheet="true" password="cc6f" formatCells="false" sort="false" autoFilter="false"/>
  <mergeCells count="28">
    <mergeCell ref="A1:G1"/>
    <mergeCell ref="A2:G2"/>
    <mergeCell ref="A4:G4"/>
    <mergeCell ref="D5:F5"/>
    <mergeCell ref="D6:F6"/>
    <mergeCell ref="A8:G8"/>
    <mergeCell ref="A16:G16"/>
    <mergeCell ref="A37:G37"/>
    <mergeCell ref="A50:G50"/>
    <mergeCell ref="A59:G59"/>
    <mergeCell ref="A71:G71"/>
    <mergeCell ref="A82:G82"/>
    <mergeCell ref="A84:C84"/>
    <mergeCell ref="A85:C85"/>
    <mergeCell ref="A86:C86"/>
    <mergeCell ref="A87:C87"/>
    <mergeCell ref="A88:C88"/>
    <mergeCell ref="A89:C89"/>
    <mergeCell ref="A90:E90"/>
    <mergeCell ref="A92:G92"/>
    <mergeCell ref="B93:G93"/>
    <mergeCell ref="B94:G94"/>
    <mergeCell ref="B95:G95"/>
    <mergeCell ref="B96:G96"/>
    <mergeCell ref="B97:G97"/>
    <mergeCell ref="B98:G98"/>
    <mergeCell ref="B99:G99"/>
    <mergeCell ref="A101:G101"/>
  </mergeCells>
  <conditionalFormatting sqref="D69:F69">
    <cfRule type="expression" priority="2" aboveAverage="0" equalAverage="0" bottom="0" percent="0" rank="0" text="" dxfId="0">
      <formula>ISNUMBER(SEARCH("NO CUMPLE",D69))</formula>
    </cfRule>
    <cfRule type="expression" priority="3" aboveAverage="0" equalAverage="0" bottom="0" percent="0" rank="0" text="" dxfId="1">
      <formula>ISNUMBER(SEARCH("REVISAR",D69))</formula>
    </cfRule>
    <cfRule type="expression" priority="4" aboveAverage="0" equalAverage="0" bottom="0" percent="0" rank="0" text="" dxfId="0">
      <formula>ISNUMBER(SEARCH("Migrar",D69))</formula>
    </cfRule>
    <cfRule type="expression" priority="5" aboveAverage="0" equalAverage="0" bottom="0" percent="0" rank="0" text="" dxfId="2">
      <formula>AND(ISNUMBER(SEARCH("CUMPLE",D69)),NOT(ISNUMBER(SEARCH("NO CUMPLE",D69))))</formula>
    </cfRule>
    <cfRule type="expression" priority="6" aboveAverage="0" equalAverage="0" bottom="0" percent="0" rank="0" text="" dxfId="3">
      <formula>ISNUMBER(SEARCH("APTO",D69))</formula>
    </cfRule>
    <cfRule type="expression" priority="7" aboveAverage="0" equalAverage="0" bottom="0" percent="0" rank="0" text="" dxfId="2">
      <formula>OR(ISNUMBER(SEARCH("OK",D69)),ISNUMBER(SEARCH("Refuerzo 360",D69)),ISNUMBER(SEARCH("Parche local",D69)))</formula>
    </cfRule>
  </conditionalFormatting>
  <conditionalFormatting sqref="F84:F89">
    <cfRule type="expression" priority="8" aboveAverage="0" equalAverage="0" bottom="0" percent="0" rank="0" text="" dxfId="0">
      <formula>ISNUMBER(SEARCH("NO CUMPLE",F84))</formula>
    </cfRule>
    <cfRule type="expression" priority="9" aboveAverage="0" equalAverage="0" bottom="0" percent="0" rank="0" text="" dxfId="1">
      <formula>ISNUMBER(SEARCH("REVISAR",F84))</formula>
    </cfRule>
    <cfRule type="expression" priority="10" aboveAverage="0" equalAverage="0" bottom="0" percent="0" rank="0" text="" dxfId="0">
      <formula>ISNUMBER(SEARCH("Migrar",F84))</formula>
    </cfRule>
    <cfRule type="expression" priority="11" aboveAverage="0" equalAverage="0" bottom="0" percent="0" rank="0" text="" dxfId="2">
      <formula>AND(ISNUMBER(SEARCH("CUMPLE",F84)),NOT(ISNUMBER(SEARCH("NO CUMPLE",F84))))</formula>
    </cfRule>
    <cfRule type="expression" priority="12" aboveAverage="0" equalAverage="0" bottom="0" percent="0" rank="0" text="" dxfId="3">
      <formula>ISNUMBER(SEARCH("APTO",F84))</formula>
    </cfRule>
    <cfRule type="expression" priority="13" aboveAverage="0" equalAverage="0" bottom="0" percent="0" rank="0" text="" dxfId="2">
      <formula>OR(ISNUMBER(SEARCH("OK",F84)),ISNUMBER(SEARCH("Refuerzo 360",F84)),ISNUMBER(SEARCH("Parche local",F84)))</formula>
    </cfRule>
  </conditionalFormatting>
  <conditionalFormatting sqref="F90">
    <cfRule type="expression" priority="14" aboveAverage="0" equalAverage="0" bottom="0" percent="0" rank="0" text="" dxfId="0">
      <formula>ISNUMBER(SEARCH("NO CUMPLE",F90))</formula>
    </cfRule>
    <cfRule type="expression" priority="15" aboveAverage="0" equalAverage="0" bottom="0" percent="0" rank="0" text="" dxfId="1">
      <formula>ISNUMBER(SEARCH("REVISAR",F90))</formula>
    </cfRule>
    <cfRule type="expression" priority="16" aboveAverage="0" equalAverage="0" bottom="0" percent="0" rank="0" text="" dxfId="0">
      <formula>ISNUMBER(SEARCH("Migrar",F90))</formula>
    </cfRule>
    <cfRule type="expression" priority="17" aboveAverage="0" equalAverage="0" bottom="0" percent="0" rank="0" text="" dxfId="2">
      <formula>AND(ISNUMBER(SEARCH("CUMPLE",F90)),NOT(ISNUMBER(SEARCH("NO CUMPLE",F90))))</formula>
    </cfRule>
    <cfRule type="expression" priority="18" aboveAverage="0" equalAverage="0" bottom="0" percent="0" rank="0" text="" dxfId="3">
      <formula>ISNUMBER(SEARCH("APTO",F90))</formula>
    </cfRule>
    <cfRule type="expression" priority="19" aboveAverage="0" equalAverage="0" bottom="0" percent="0" rank="0" text="" dxfId="2">
      <formula>OR(ISNUMBER(SEARCH("OK",F90)),ISNUMBER(SEARCH("Refuerzo 360",F90)),ISNUMBER(SEARCH("Parche local",F90)))</formula>
    </cfRule>
  </conditionalFormatting>
  <dataValidations count="5">
    <dataValidation allowBlank="false" errorStyle="stop" operator="between" showDropDown="false" showErrorMessage="false" showInputMessage="false" sqref="D10" type="list">
      <formula1>"Tubería (B31.3),Virola cilíndrica (VIII-1),Cabezal/esfera (VIII-1)"</formula1>
      <formula2>0</formula2>
    </dataValidation>
    <dataValidation allowBlank="false" errorStyle="stop" operator="between" showDropDown="false" showErrorMessage="false" showInputMessage="false" sqref="D18" type="list">
      <formula1>"0.5,0.75,1,1.25,1.5,2,2.5,3,3.5,4,5,6,8,10,12,14,16,18,20,22,24,26,28,30,32,34,36,38,40,42,44,46,48"</formula1>
      <formula2>0</formula2>
    </dataValidation>
    <dataValidation allowBlank="false" errorStyle="stop" operator="between" showDropDown="false" showErrorMessage="false" showInputMessage="false" sqref="D19" type="list">
      <formula1>"5,10,20,30,40,60,80,100,120,140,160,STD,XS,XXS"</formula1>
      <formula2>0</formula2>
    </dataValidation>
    <dataValidation allowBlank="false" errorStyle="stop" operator="between" showDropDown="false" showErrorMessage="false" showInputMessage="false" sqref="D22" type="list">
      <formula1>"A106 Gr.B,A516 Gr.70,A105,A285 Gr.C,A333 Gr.6,A53 Gr.B"</formula1>
      <formula2>0</formula2>
    </dataValidation>
    <dataValidation allowBlank="false" errorStyle="stop" operator="between" showDropDown="false" showErrorMessage="false" showInputMessage="false" sqref="D23" type="list">
      <formula1>"A106 Gr.B,A516 Gr.70,A105,A285 Gr.C,A333 Gr.6,A53 Gr.B"</formula1>
      <formula2>0</formula2>
    </dataValidation>
  </dataValidations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2026-09-06T04:25:06Z</dcterms:created>
  <dc:creator>openpyxl</dc:creator>
  <dc:description/>
  <dc:language>en-US</dc:language>
  <cp:lastModifiedBy/>
  <dcterms:modified xsi:type="dcterms:W3CDTF">2026-09-06T04:25:06Z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